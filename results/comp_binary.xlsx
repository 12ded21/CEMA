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950" windowHeight="12080" firstSheet="5" activeTab="9"/>
  </bookViews>
  <sheets>
    <sheet name="k=10" sheetId="1" r:id="rId1"/>
    <sheet name="k=15" sheetId="2" r:id="rId2"/>
    <sheet name="k=20" sheetId="3" r:id="rId3"/>
    <sheet name="k=25" sheetId="4" r:id="rId4"/>
    <sheet name="k=30" sheetId="5" r:id="rId5"/>
    <sheet name="0.0001" sheetId="6" r:id="rId6"/>
    <sheet name="0.0005" sheetId="7" r:id="rId7"/>
    <sheet name="0.001" sheetId="8" r:id="rId8"/>
    <sheet name="0.0015" sheetId="9" r:id="rId9"/>
    <sheet name="0.002" sheetId="10" r:id="rId10"/>
  </sheets>
  <definedNames>
    <definedName name="_xlnm._FilterDatabase" localSheetId="5" hidden="1">'0.0001'!$Q:$Q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<sst xmlns="http://schemas.openxmlformats.org/spreadsheetml/2006/main" count="1305" uniqueCount="213">
  <si>
    <t>instance</t>
  </si>
  <si>
    <t>n</t>
  </si>
  <si>
    <t>m</t>
  </si>
  <si>
    <t>degree_n</t>
  </si>
  <si>
    <t>degree_m</t>
  </si>
  <si>
    <t>degree_time</t>
  </si>
  <si>
    <t>color_m</t>
  </si>
  <si>
    <t>color_time</t>
  </si>
  <si>
    <t>clique_m</t>
  </si>
  <si>
    <t>clique_time</t>
  </si>
  <si>
    <t>number_constrains</t>
  </si>
  <si>
    <t>number_cut</t>
  </si>
  <si>
    <t>ILP_time</t>
  </si>
  <si>
    <t>LB</t>
  </si>
  <si>
    <t>LB_time</t>
  </si>
  <si>
    <t>ans</t>
  </si>
  <si>
    <t>time</t>
  </si>
  <si>
    <t>brock200_1.clq</t>
  </si>
  <si>
    <t>brock200_2.clq</t>
  </si>
  <si>
    <t>brock200_3.clq</t>
  </si>
  <si>
    <t>brock200_4.clq</t>
  </si>
  <si>
    <t>c-fat200-1.clq</t>
  </si>
  <si>
    <t>1.6e-05</t>
  </si>
  <si>
    <t>8.5e-05</t>
  </si>
  <si>
    <t>c-fat200-2.clq</t>
  </si>
  <si>
    <t>3.8e-05</t>
  </si>
  <si>
    <t>4e-06</t>
  </si>
  <si>
    <t>c-fat200-5.clq</t>
  </si>
  <si>
    <t>4.6e-05</t>
  </si>
  <si>
    <t>gen200_p0.9_44.clq</t>
  </si>
  <si>
    <t>gen200_p0.9_55.clq</t>
  </si>
  <si>
    <t>san200_0.7_1.clq</t>
  </si>
  <si>
    <t>san200_0.7_2.clq</t>
  </si>
  <si>
    <t>san200_0.9_1.clq</t>
  </si>
  <si>
    <t>san200_0.9_2.clq</t>
  </si>
  <si>
    <t>san200_0.9_3.clq</t>
  </si>
  <si>
    <t>sanr200_0.7.clq</t>
  </si>
  <si>
    <t>sanr200_0.9.clq</t>
  </si>
  <si>
    <t>8.2e-05</t>
  </si>
  <si>
    <t>2.2e-05</t>
  </si>
  <si>
    <t>4.5e-05</t>
  </si>
  <si>
    <t>1.4e-05</t>
  </si>
  <si>
    <t>2.1e-05</t>
  </si>
  <si>
    <t>8.3e-05</t>
  </si>
  <si>
    <t>2.3e-05</t>
  </si>
  <si>
    <t>3.5e-05</t>
  </si>
  <si>
    <t>1.5e-05</t>
  </si>
  <si>
    <t>bio-celegans</t>
  </si>
  <si>
    <t>bio-diseasome</t>
  </si>
  <si>
    <t>3.2e-05</t>
  </si>
  <si>
    <t>3.6e-05</t>
  </si>
  <si>
    <t>2e-06</t>
  </si>
  <si>
    <t>9.3e-05</t>
  </si>
  <si>
    <t>bio-dmela</t>
  </si>
  <si>
    <t>bio-yeast</t>
  </si>
  <si>
    <t>4.4e-05</t>
  </si>
  <si>
    <t>8e-06</t>
  </si>
  <si>
    <t>1e-06</t>
  </si>
  <si>
    <t>ca-AstroPh</t>
  </si>
  <si>
    <t>ca-citeseer</t>
  </si>
  <si>
    <t>ca-CondMat</t>
  </si>
  <si>
    <t>ca-CSphd</t>
  </si>
  <si>
    <t>7.1e-05</t>
  </si>
  <si>
    <t>ca-dblp-2010</t>
  </si>
  <si>
    <t>ca-Erdos992</t>
  </si>
  <si>
    <t>ca-GrQc</t>
  </si>
  <si>
    <t>ca-HepPh</t>
  </si>
  <si>
    <t>ca-MathSciNet</t>
  </si>
  <si>
    <t>ca-netscience</t>
  </si>
  <si>
    <t>3e-06</t>
  </si>
  <si>
    <t>ia-email-EU</t>
  </si>
  <si>
    <t>ia-email-univ</t>
  </si>
  <si>
    <t>ia-enron-large</t>
  </si>
  <si>
    <t>ia-enron-only</t>
  </si>
  <si>
    <t>ia-fb-messages</t>
  </si>
  <si>
    <t>ia-infect-dublin</t>
  </si>
  <si>
    <t>ia-infect-hyper</t>
  </si>
  <si>
    <t>ia-reality</t>
  </si>
  <si>
    <t>ia-wiki-Talk</t>
  </si>
  <si>
    <t>inf-power</t>
  </si>
  <si>
    <t>rec-amazon</t>
  </si>
  <si>
    <t>4.3e-05</t>
  </si>
  <si>
    <t>rt-retweet</t>
  </si>
  <si>
    <t>1.1e-05</t>
  </si>
  <si>
    <t>1.9e-05</t>
  </si>
  <si>
    <t>rt-twitter-copen</t>
  </si>
  <si>
    <t>6e-05</t>
  </si>
  <si>
    <t>7.4e-05</t>
  </si>
  <si>
    <t>9.6e-05</t>
  </si>
  <si>
    <t>scc_enron-only</t>
  </si>
  <si>
    <t>scc_fb-forum</t>
  </si>
  <si>
    <t>scc_fb-messages</t>
  </si>
  <si>
    <t>scc_infect-dublin</t>
  </si>
  <si>
    <t>scc_infect-hyper</t>
  </si>
  <si>
    <t>scc_retweet</t>
  </si>
  <si>
    <t>scc_retweet-crawl</t>
  </si>
  <si>
    <t>scc_rt_alwefaq</t>
  </si>
  <si>
    <t>2.4e-05</t>
  </si>
  <si>
    <t>3.1e-05</t>
  </si>
  <si>
    <t>scc_rt_assad</t>
  </si>
  <si>
    <t>6.1e-05</t>
  </si>
  <si>
    <t>scc_rt_bahrain</t>
  </si>
  <si>
    <t>5.4e-05</t>
  </si>
  <si>
    <t>1.7e-05</t>
  </si>
  <si>
    <t>scc_rt_barackobama</t>
  </si>
  <si>
    <t>1.8e-05</t>
  </si>
  <si>
    <t>scc_rt_damascus</t>
  </si>
  <si>
    <t>6e-06</t>
  </si>
  <si>
    <t>1.3e-05</t>
  </si>
  <si>
    <t>1e-05</t>
  </si>
  <si>
    <t>scc_rt_dash</t>
  </si>
  <si>
    <t>7e-06</t>
  </si>
  <si>
    <t>scc_rt_gmanews</t>
  </si>
  <si>
    <t>9.2e-05</t>
  </si>
  <si>
    <t>scc_rt_gop</t>
  </si>
  <si>
    <t>scc_rt_http</t>
  </si>
  <si>
    <t>5e-06</t>
  </si>
  <si>
    <t>scc_rt_israel</t>
  </si>
  <si>
    <t>scc_rt_justinbieber</t>
  </si>
  <si>
    <t>5.5e-05</t>
  </si>
  <si>
    <t>scc_rt_ksa</t>
  </si>
  <si>
    <t>9e-06</t>
  </si>
  <si>
    <t>scc_rt_lebanon</t>
  </si>
  <si>
    <t>scc_rt_libya</t>
  </si>
  <si>
    <t>scc_rt_lolgop</t>
  </si>
  <si>
    <t>scc_rt_mittromney</t>
  </si>
  <si>
    <t>1.2e-05</t>
  </si>
  <si>
    <t>scc_rt_obama</t>
  </si>
  <si>
    <t>scc_rt_occupy</t>
  </si>
  <si>
    <t>scc_rt_occupywallstnyc</t>
  </si>
  <si>
    <t>7.3e-05</t>
  </si>
  <si>
    <t>scc_rt_oman</t>
  </si>
  <si>
    <t>scc_rt_onedirection</t>
  </si>
  <si>
    <t>2.9e-05</t>
  </si>
  <si>
    <t>scc_rt_p2</t>
  </si>
  <si>
    <t>scc_rt_qatif</t>
  </si>
  <si>
    <t>scc_rt_saudi</t>
  </si>
  <si>
    <t>6.7e-05</t>
  </si>
  <si>
    <t>scc_rt_tcot</t>
  </si>
  <si>
    <t>scc_rt_tlot</t>
  </si>
  <si>
    <t>scc_rt_uae</t>
  </si>
  <si>
    <t>scc_rt_voteonedirection</t>
  </si>
  <si>
    <t>scc_twitter-copen</t>
  </si>
  <si>
    <t>soc-brightkite</t>
  </si>
  <si>
    <t>soc-dolphins</t>
  </si>
  <si>
    <t>soc-douban</t>
  </si>
  <si>
    <t>soc-epinions</t>
  </si>
  <si>
    <t>socfb-Berkeley13</t>
  </si>
  <si>
    <t>socfb-CMU</t>
  </si>
  <si>
    <t>socfb-Duke14</t>
  </si>
  <si>
    <t>socfb-MIT</t>
  </si>
  <si>
    <t>socfb-OR</t>
  </si>
  <si>
    <t>socfb-Stanford3</t>
  </si>
  <si>
    <t>socfb-UCLA</t>
  </si>
  <si>
    <t>socfb-UConn</t>
  </si>
  <si>
    <t>socfb-UCSB37</t>
  </si>
  <si>
    <t>socfb-Wisconsin87</t>
  </si>
  <si>
    <t>soc-gowalla</t>
  </si>
  <si>
    <t>soc-karate</t>
  </si>
  <si>
    <t>2.8e-05</t>
  </si>
  <si>
    <t>soc-slashdot</t>
  </si>
  <si>
    <t>soc-twitter-follows</t>
  </si>
  <si>
    <t>soc-wiki-Vote</t>
  </si>
  <si>
    <t>tech-as-caida2007</t>
  </si>
  <si>
    <t>tech-internet-as</t>
  </si>
  <si>
    <t>tech-p2p-gnutella</t>
  </si>
  <si>
    <t>tech-RL-caida</t>
  </si>
  <si>
    <t>tech-routers-rf</t>
  </si>
  <si>
    <t>tech-WHOIS</t>
  </si>
  <si>
    <t>web-edu</t>
  </si>
  <si>
    <t>web-google</t>
  </si>
  <si>
    <t>8.4e-05</t>
  </si>
  <si>
    <t>web-indochina-2004</t>
  </si>
  <si>
    <t>3.9e-05</t>
  </si>
  <si>
    <t>web-polblogs</t>
  </si>
  <si>
    <t>web-sk-2005</t>
  </si>
  <si>
    <t>web-spam</t>
  </si>
  <si>
    <t>web-webbase-2001</t>
  </si>
  <si>
    <t>5.6e-05</t>
  </si>
  <si>
    <t>5.1e-05</t>
  </si>
  <si>
    <t>5.8e-05</t>
  </si>
  <si>
    <t>4.7e-05</t>
  </si>
  <si>
    <t>4.1e-05</t>
  </si>
  <si>
    <t>3.7e-05</t>
  </si>
  <si>
    <t>6.8e-05</t>
  </si>
  <si>
    <t>9.1e-05</t>
  </si>
  <si>
    <t>2.5e-05</t>
  </si>
  <si>
    <t>4e-05</t>
  </si>
  <si>
    <t>5.7e-05</t>
  </si>
  <si>
    <t>6.9e-05</t>
  </si>
  <si>
    <t>7e-05</t>
  </si>
  <si>
    <t>6.4e-05</t>
  </si>
  <si>
    <t>2.6e-05</t>
  </si>
  <si>
    <t>7.9e-05</t>
  </si>
  <si>
    <t>3.3e-05</t>
  </si>
  <si>
    <t>7.7e-05</t>
  </si>
  <si>
    <t>4.2e-05</t>
  </si>
  <si>
    <t>8.1e-05</t>
  </si>
  <si>
    <t>8e-05</t>
  </si>
  <si>
    <t>2e-05</t>
  </si>
  <si>
    <t>4.9e-05</t>
  </si>
  <si>
    <t>9.9e-05</t>
  </si>
  <si>
    <t>3e-05</t>
  </si>
  <si>
    <t>3.4e-05</t>
  </si>
  <si>
    <t>5.9e-05</t>
  </si>
  <si>
    <t>9.7e-05</t>
  </si>
  <si>
    <t>7.6e-05</t>
  </si>
  <si>
    <t>8.9e-05</t>
  </si>
  <si>
    <t>6.5e-05</t>
  </si>
  <si>
    <t>2.7e-05</t>
  </si>
  <si>
    <t>9.5e-05</t>
  </si>
  <si>
    <t>6.3e-05</t>
  </si>
  <si>
    <t>6.6e-05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</si>
</sst>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0" borderId="0" xfId="0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opLeftCell="L1" workbookViewId="0">
      <selection activeCell="Q24" sqref="Q24"/>
    </sheetView>
  </sheetViews>
  <sheetFormatPr defaultColWidth="9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/>
      <c r="U1" s="2"/>
    </row>
    <row r="2" spans="1:21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0.000189</v>
      </c>
      <c r="G2">
        <v>14834</v>
      </c>
      <c r="H2">
        <v>0.166839</v>
      </c>
      <c r="I2">
        <v>14834</v>
      </c>
      <c r="J2">
        <v>7.34901</v>
      </c>
      <c r="K2">
        <v>1820</v>
      </c>
      <c r="L2">
        <v>1</v>
      </c>
      <c r="M2">
        <v>4.74651</v>
      </c>
      <c r="N2">
        <v>15</v>
      </c>
      <c r="O2">
        <v>0.002782</v>
      </c>
      <c r="P2">
        <v>19</v>
      </c>
      <c r="Q2">
        <v>18.3921</v>
      </c>
      <c r="R2" s="1">
        <v>13.5458</v>
      </c>
      <c r="T2">
        <f>IF(Q2&lt;R2,1,0)</f>
        <v>0</v>
      </c>
      <c r="U2" s="1">
        <f>IF(R2&lt;Q2,1,0)</f>
        <v>1</v>
      </c>
    </row>
    <row r="3" spans="1:21">
      <c r="A3" t="s">
        <v>18</v>
      </c>
      <c r="B3">
        <v>200</v>
      </c>
      <c r="C3">
        <v>9876</v>
      </c>
      <c r="D3">
        <v>200</v>
      </c>
      <c r="E3">
        <v>9876</v>
      </c>
      <c r="F3">
        <v>0.00014</v>
      </c>
      <c r="G3">
        <v>9876</v>
      </c>
      <c r="H3">
        <v>0.059106</v>
      </c>
      <c r="I3">
        <v>9834</v>
      </c>
      <c r="J3">
        <v>0.389959</v>
      </c>
      <c r="K3">
        <v>1130</v>
      </c>
      <c r="L3">
        <v>2</v>
      </c>
      <c r="M3">
        <v>0.574475</v>
      </c>
      <c r="N3">
        <v>8</v>
      </c>
      <c r="O3">
        <v>0.001284</v>
      </c>
      <c r="P3">
        <v>10</v>
      </c>
      <c r="Q3">
        <v>1.23324</v>
      </c>
      <c r="R3" s="1">
        <v>0.667479</v>
      </c>
      <c r="T3">
        <f t="shared" ref="T3:T17" si="0">IF(Q3&lt;R3,1,0)</f>
        <v>0</v>
      </c>
      <c r="U3" s="1">
        <f t="shared" ref="U3:U17" si="1">IF(R3&lt;Q3,1,0)</f>
        <v>1</v>
      </c>
    </row>
    <row r="4" spans="1:21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0.000153</v>
      </c>
      <c r="G4">
        <v>12048</v>
      </c>
      <c r="H4">
        <v>0.099466</v>
      </c>
      <c r="I4">
        <v>12039</v>
      </c>
      <c r="J4">
        <v>1.298</v>
      </c>
      <c r="K4">
        <v>1194</v>
      </c>
      <c r="L4">
        <v>2</v>
      </c>
      <c r="M4">
        <v>1.01094</v>
      </c>
      <c r="N4">
        <v>11</v>
      </c>
      <c r="O4">
        <v>0.001705</v>
      </c>
      <c r="P4">
        <v>13</v>
      </c>
      <c r="Q4">
        <v>2.81422</v>
      </c>
      <c r="R4" s="1">
        <v>2.38032</v>
      </c>
      <c r="T4">
        <f t="shared" si="0"/>
        <v>0</v>
      </c>
      <c r="U4" s="1">
        <f t="shared" si="1"/>
        <v>1</v>
      </c>
    </row>
    <row r="5" spans="1:21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0.000241</v>
      </c>
      <c r="G5">
        <v>13089</v>
      </c>
      <c r="H5">
        <v>0.168884</v>
      </c>
      <c r="I5">
        <v>13089</v>
      </c>
      <c r="J5">
        <v>3.12036</v>
      </c>
      <c r="K5">
        <v>1210</v>
      </c>
      <c r="L5">
        <v>0</v>
      </c>
      <c r="M5">
        <v>0.563384</v>
      </c>
      <c r="N5">
        <v>12</v>
      </c>
      <c r="O5">
        <v>0.002877</v>
      </c>
      <c r="P5">
        <v>15</v>
      </c>
      <c r="Q5">
        <v>4.81141</v>
      </c>
      <c r="R5" s="1">
        <v>4.19439</v>
      </c>
      <c r="T5">
        <f t="shared" si="0"/>
        <v>0</v>
      </c>
      <c r="U5" s="1">
        <f t="shared" si="1"/>
        <v>1</v>
      </c>
    </row>
    <row r="6" spans="1:21">
      <c r="A6" t="s">
        <v>21</v>
      </c>
      <c r="B6">
        <v>200</v>
      </c>
      <c r="C6">
        <v>1534</v>
      </c>
      <c r="D6">
        <v>200</v>
      </c>
      <c r="E6">
        <v>1534</v>
      </c>
      <c r="F6" s="3" t="s">
        <v>22</v>
      </c>
      <c r="G6">
        <v>769</v>
      </c>
      <c r="H6">
        <v>0.000951</v>
      </c>
      <c r="I6">
        <v>751</v>
      </c>
      <c r="J6">
        <v>0.099071</v>
      </c>
      <c r="K6">
        <v>354</v>
      </c>
      <c r="L6">
        <v>0</v>
      </c>
      <c r="M6">
        <v>0.01345</v>
      </c>
      <c r="N6">
        <v>11</v>
      </c>
      <c r="O6" s="3" t="s">
        <v>23</v>
      </c>
      <c r="P6">
        <v>11</v>
      </c>
      <c r="Q6">
        <v>0.141175</v>
      </c>
      <c r="R6" s="1">
        <v>0.116682</v>
      </c>
      <c r="T6">
        <f t="shared" si="0"/>
        <v>0</v>
      </c>
      <c r="U6" s="1">
        <f t="shared" si="1"/>
        <v>1</v>
      </c>
    </row>
    <row r="7" spans="1:21">
      <c r="A7" t="s">
        <v>24</v>
      </c>
      <c r="B7">
        <v>200</v>
      </c>
      <c r="C7">
        <v>3235</v>
      </c>
      <c r="D7">
        <v>200</v>
      </c>
      <c r="E7">
        <v>3235</v>
      </c>
      <c r="F7" s="3" t="s">
        <v>25</v>
      </c>
      <c r="G7">
        <v>650</v>
      </c>
      <c r="H7">
        <v>0.007724</v>
      </c>
      <c r="I7">
        <v>650</v>
      </c>
      <c r="J7">
        <v>0.379858</v>
      </c>
      <c r="K7">
        <v>0</v>
      </c>
      <c r="L7">
        <v>0</v>
      </c>
      <c r="M7" s="3" t="s">
        <v>26</v>
      </c>
      <c r="N7">
        <v>22</v>
      </c>
      <c r="O7">
        <v>0.000279</v>
      </c>
      <c r="P7">
        <v>22</v>
      </c>
      <c r="Q7">
        <v>0.403292</v>
      </c>
      <c r="R7" s="1">
        <v>0.356219</v>
      </c>
      <c r="T7">
        <f t="shared" si="0"/>
        <v>0</v>
      </c>
      <c r="U7" s="1">
        <f t="shared" si="1"/>
        <v>1</v>
      </c>
    </row>
    <row r="8" spans="1:21">
      <c r="A8" t="s">
        <v>27</v>
      </c>
      <c r="B8">
        <v>200</v>
      </c>
      <c r="C8">
        <v>8473</v>
      </c>
      <c r="D8">
        <v>200</v>
      </c>
      <c r="E8">
        <v>8473</v>
      </c>
      <c r="F8" s="3" t="s">
        <v>28</v>
      </c>
      <c r="G8">
        <v>8473</v>
      </c>
      <c r="H8">
        <v>0.034631</v>
      </c>
      <c r="I8">
        <v>8473</v>
      </c>
      <c r="J8">
        <v>6.2777</v>
      </c>
      <c r="K8">
        <v>1220</v>
      </c>
      <c r="L8">
        <v>4</v>
      </c>
      <c r="M8">
        <v>1.11729</v>
      </c>
      <c r="N8">
        <v>54</v>
      </c>
      <c r="O8">
        <v>0.000751</v>
      </c>
      <c r="P8">
        <v>55</v>
      </c>
      <c r="Q8">
        <v>7.49475</v>
      </c>
      <c r="R8" s="1">
        <v>5.9415</v>
      </c>
      <c r="T8">
        <f t="shared" si="0"/>
        <v>0</v>
      </c>
      <c r="U8" s="1">
        <f t="shared" si="1"/>
        <v>1</v>
      </c>
    </row>
    <row r="9" spans="1:21">
      <c r="A9" t="s">
        <v>29</v>
      </c>
      <c r="B9">
        <v>200</v>
      </c>
      <c r="C9">
        <v>17910</v>
      </c>
      <c r="D9">
        <v>200</v>
      </c>
      <c r="E9">
        <v>17910</v>
      </c>
      <c r="F9">
        <v>0.000234</v>
      </c>
      <c r="G9">
        <v>17910</v>
      </c>
      <c r="H9">
        <v>0.216647</v>
      </c>
      <c r="I9">
        <v>17910</v>
      </c>
      <c r="J9">
        <v>16.0641</v>
      </c>
      <c r="K9">
        <v>5209</v>
      </c>
      <c r="L9">
        <v>23</v>
      </c>
      <c r="M9">
        <v>-1</v>
      </c>
      <c r="N9">
        <v>29</v>
      </c>
      <c r="O9">
        <v>0.004101</v>
      </c>
      <c r="P9">
        <v>29</v>
      </c>
      <c r="Q9">
        <v>600</v>
      </c>
      <c r="R9" s="1">
        <v>600</v>
      </c>
      <c r="T9">
        <f t="shared" si="0"/>
        <v>0</v>
      </c>
      <c r="U9" s="1">
        <f t="shared" si="1"/>
        <v>0</v>
      </c>
    </row>
    <row r="10" spans="1:21">
      <c r="A10" t="s">
        <v>30</v>
      </c>
      <c r="B10">
        <v>200</v>
      </c>
      <c r="C10">
        <v>17910</v>
      </c>
      <c r="D10">
        <v>200</v>
      </c>
      <c r="E10">
        <v>17910</v>
      </c>
      <c r="F10">
        <v>0.000236</v>
      </c>
      <c r="G10">
        <v>17910</v>
      </c>
      <c r="H10">
        <v>0.24501</v>
      </c>
      <c r="I10">
        <v>17910</v>
      </c>
      <c r="J10">
        <v>12.5345</v>
      </c>
      <c r="K10">
        <v>5689</v>
      </c>
      <c r="L10">
        <v>21</v>
      </c>
      <c r="M10">
        <v>16.4088</v>
      </c>
      <c r="N10">
        <v>32</v>
      </c>
      <c r="O10">
        <v>0.004157</v>
      </c>
      <c r="P10">
        <v>45</v>
      </c>
      <c r="Q10">
        <v>29.8997</v>
      </c>
      <c r="R10" s="1">
        <v>26.7726</v>
      </c>
      <c r="T10">
        <f t="shared" si="0"/>
        <v>0</v>
      </c>
      <c r="U10" s="1">
        <f t="shared" si="1"/>
        <v>1</v>
      </c>
    </row>
    <row r="11" spans="1:21">
      <c r="A11" t="s">
        <v>31</v>
      </c>
      <c r="B11">
        <v>200</v>
      </c>
      <c r="C11">
        <v>13930</v>
      </c>
      <c r="D11">
        <v>200</v>
      </c>
      <c r="E11">
        <v>13930</v>
      </c>
      <c r="F11">
        <v>0.000257</v>
      </c>
      <c r="G11">
        <v>13930</v>
      </c>
      <c r="H11">
        <v>0.150446</v>
      </c>
      <c r="I11">
        <v>13520</v>
      </c>
      <c r="J11">
        <v>2.17355</v>
      </c>
      <c r="K11">
        <v>681</v>
      </c>
      <c r="L11">
        <v>56</v>
      </c>
      <c r="M11">
        <v>14.885</v>
      </c>
      <c r="N11">
        <v>18</v>
      </c>
      <c r="O11">
        <v>0.003938</v>
      </c>
      <c r="P11">
        <v>20</v>
      </c>
      <c r="Q11">
        <v>17.5515</v>
      </c>
      <c r="R11" s="1">
        <v>7.78158</v>
      </c>
      <c r="T11">
        <f t="shared" si="0"/>
        <v>0</v>
      </c>
      <c r="U11" s="1">
        <f t="shared" si="1"/>
        <v>1</v>
      </c>
    </row>
    <row r="12" spans="1:21">
      <c r="A12" t="s">
        <v>32</v>
      </c>
      <c r="B12">
        <v>200</v>
      </c>
      <c r="C12">
        <v>13930</v>
      </c>
      <c r="D12">
        <v>200</v>
      </c>
      <c r="E12">
        <v>13930</v>
      </c>
      <c r="F12">
        <v>0.000155</v>
      </c>
      <c r="G12">
        <v>13929</v>
      </c>
      <c r="H12">
        <v>0.091016</v>
      </c>
      <c r="I12">
        <v>13916</v>
      </c>
      <c r="J12">
        <v>2.37868</v>
      </c>
      <c r="K12">
        <v>1188</v>
      </c>
      <c r="L12">
        <v>2</v>
      </c>
      <c r="M12">
        <v>1.58825</v>
      </c>
      <c r="N12">
        <v>12</v>
      </c>
      <c r="O12">
        <v>0.002864</v>
      </c>
      <c r="P12">
        <v>15</v>
      </c>
      <c r="Q12">
        <v>4.29832</v>
      </c>
      <c r="R12" s="1">
        <v>2.53392</v>
      </c>
      <c r="T12">
        <f t="shared" si="0"/>
        <v>0</v>
      </c>
      <c r="U12" s="1">
        <f t="shared" si="1"/>
        <v>1</v>
      </c>
    </row>
    <row r="13" spans="1:21">
      <c r="A13" t="s">
        <v>33</v>
      </c>
      <c r="B13">
        <v>200</v>
      </c>
      <c r="C13">
        <v>17910</v>
      </c>
      <c r="D13">
        <v>200</v>
      </c>
      <c r="E13">
        <v>17910</v>
      </c>
      <c r="F13">
        <v>0.000201</v>
      </c>
      <c r="G13">
        <v>17910</v>
      </c>
      <c r="H13">
        <v>0.24332</v>
      </c>
      <c r="I13">
        <v>17910</v>
      </c>
      <c r="J13">
        <v>6.01187</v>
      </c>
      <c r="K13">
        <v>8030</v>
      </c>
      <c r="L13">
        <v>17</v>
      </c>
      <c r="M13">
        <v>14.067</v>
      </c>
      <c r="N13">
        <v>42</v>
      </c>
      <c r="O13">
        <v>0.004212</v>
      </c>
      <c r="P13">
        <v>60</v>
      </c>
      <c r="Q13">
        <v>20.6769</v>
      </c>
      <c r="R13" s="1">
        <v>121.731</v>
      </c>
      <c r="T13">
        <f t="shared" si="0"/>
        <v>1</v>
      </c>
      <c r="U13" s="1">
        <f t="shared" si="1"/>
        <v>0</v>
      </c>
    </row>
    <row r="14" spans="1:21">
      <c r="A14" t="s">
        <v>34</v>
      </c>
      <c r="B14">
        <v>200</v>
      </c>
      <c r="C14">
        <v>17910</v>
      </c>
      <c r="D14">
        <v>200</v>
      </c>
      <c r="E14">
        <v>17910</v>
      </c>
      <c r="F14">
        <v>0.000223</v>
      </c>
      <c r="G14">
        <v>17910</v>
      </c>
      <c r="H14">
        <v>0.226695</v>
      </c>
      <c r="I14">
        <v>17885</v>
      </c>
      <c r="J14">
        <v>11.5734</v>
      </c>
      <c r="K14">
        <v>6178</v>
      </c>
      <c r="L14">
        <v>114</v>
      </c>
      <c r="M14">
        <v>56.2399</v>
      </c>
      <c r="N14">
        <v>42</v>
      </c>
      <c r="O14">
        <v>0.00386</v>
      </c>
      <c r="P14">
        <v>50</v>
      </c>
      <c r="Q14">
        <v>68.4193</v>
      </c>
      <c r="R14" s="1">
        <v>70.1447</v>
      </c>
      <c r="T14">
        <f t="shared" si="0"/>
        <v>1</v>
      </c>
      <c r="U14" s="1">
        <f t="shared" si="1"/>
        <v>0</v>
      </c>
    </row>
    <row r="15" spans="1:21">
      <c r="A15" t="s">
        <v>35</v>
      </c>
      <c r="B15">
        <v>200</v>
      </c>
      <c r="C15">
        <v>17910</v>
      </c>
      <c r="D15">
        <v>200</v>
      </c>
      <c r="E15">
        <v>17910</v>
      </c>
      <c r="F15">
        <v>0.000211</v>
      </c>
      <c r="G15">
        <v>17910</v>
      </c>
      <c r="H15">
        <v>0.203199</v>
      </c>
      <c r="I15">
        <v>17910</v>
      </c>
      <c r="J15">
        <v>29.5793</v>
      </c>
      <c r="K15">
        <v>2625</v>
      </c>
      <c r="L15">
        <v>0</v>
      </c>
      <c r="M15">
        <v>-1</v>
      </c>
      <c r="N15">
        <v>29</v>
      </c>
      <c r="O15">
        <v>0.00407</v>
      </c>
      <c r="P15">
        <v>29</v>
      </c>
      <c r="Q15">
        <v>600</v>
      </c>
      <c r="R15" s="1">
        <v>181.535</v>
      </c>
      <c r="T15">
        <f t="shared" si="0"/>
        <v>0</v>
      </c>
      <c r="U15" s="1">
        <f t="shared" si="1"/>
        <v>1</v>
      </c>
    </row>
    <row r="16" spans="1:21">
      <c r="A16" t="s">
        <v>36</v>
      </c>
      <c r="B16">
        <v>200</v>
      </c>
      <c r="C16">
        <v>13868</v>
      </c>
      <c r="D16">
        <v>200</v>
      </c>
      <c r="E16">
        <v>13868</v>
      </c>
      <c r="F16">
        <v>0.000191</v>
      </c>
      <c r="G16">
        <v>13868</v>
      </c>
      <c r="H16">
        <v>0.139549</v>
      </c>
      <c r="I16">
        <v>13867</v>
      </c>
      <c r="J16">
        <v>4.36613</v>
      </c>
      <c r="K16">
        <v>1815</v>
      </c>
      <c r="L16">
        <v>0</v>
      </c>
      <c r="M16">
        <v>0.876083</v>
      </c>
      <c r="N16">
        <v>14</v>
      </c>
      <c r="O16">
        <v>0.002332</v>
      </c>
      <c r="P16">
        <v>17</v>
      </c>
      <c r="Q16">
        <v>7.21335</v>
      </c>
      <c r="R16" s="1">
        <v>6.056</v>
      </c>
      <c r="T16">
        <f t="shared" si="0"/>
        <v>0</v>
      </c>
      <c r="U16" s="1">
        <f t="shared" si="1"/>
        <v>1</v>
      </c>
    </row>
    <row r="17" spans="1:21">
      <c r="A17" t="s">
        <v>37</v>
      </c>
      <c r="B17">
        <v>200</v>
      </c>
      <c r="C17">
        <v>17863</v>
      </c>
      <c r="D17">
        <v>200</v>
      </c>
      <c r="E17">
        <v>17863</v>
      </c>
      <c r="F17">
        <v>0.000267</v>
      </c>
      <c r="G17">
        <v>17863</v>
      </c>
      <c r="H17">
        <v>0.280371</v>
      </c>
      <c r="I17">
        <v>17863</v>
      </c>
      <c r="J17">
        <v>62.1492</v>
      </c>
      <c r="K17">
        <v>3889</v>
      </c>
      <c r="L17">
        <v>6</v>
      </c>
      <c r="M17">
        <v>-1</v>
      </c>
      <c r="N17">
        <v>31</v>
      </c>
      <c r="O17">
        <v>0.004047</v>
      </c>
      <c r="P17">
        <v>31</v>
      </c>
      <c r="Q17">
        <v>600</v>
      </c>
      <c r="R17" s="1">
        <v>600</v>
      </c>
      <c r="T17">
        <f t="shared" si="0"/>
        <v>0</v>
      </c>
      <c r="U17" s="1">
        <f t="shared" si="1"/>
        <v>0</v>
      </c>
    </row>
    <row r="18" spans="1:21">
      <c r="T18">
        <f>COUNTIF(T2:T17,"=1")</f>
        <v>2</v>
      </c>
      <c r="U18">
        <f>COUNTIF(U2:U17,"=1")</f>
        <v>12</v>
      </c>
    </row>
  </sheetData>
  <sortState ref="A2:Q17">
    <sortCondition ref="A2"/>
  </sortState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8"/>
  <sheetViews>
    <sheetView topLeftCell="L1" workbookViewId="0">
      <selection activeCell="T1" sqref="T$1:U$1048576"/>
    </sheetView>
  </sheetViews>
  <sheetFormatPr defaultColWidth="9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</cols>
  <sheetData>
    <row r="1" s="1" customFormat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/>
      <c r="U1" s="2"/>
    </row>
    <row r="2" spans="1:23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0.000187</v>
      </c>
      <c r="G2">
        <v>14834</v>
      </c>
      <c r="H2">
        <v>0.167112</v>
      </c>
      <c r="I2">
        <v>14834</v>
      </c>
      <c r="J2">
        <v>7.694</v>
      </c>
      <c r="K2">
        <v>1821</v>
      </c>
      <c r="L2">
        <v>0</v>
      </c>
      <c r="M2">
        <v>1.34723</v>
      </c>
      <c r="N2">
        <v>14</v>
      </c>
      <c r="O2">
        <v>0.002784</v>
      </c>
      <c r="P2">
        <v>19</v>
      </c>
      <c r="Q2">
        <v>16.0748</v>
      </c>
      <c r="R2" s="1">
        <v>27.1754</v>
      </c>
      <c r="T2">
        <f t="shared" ref="T2:T17" si="0">IF(Q2&lt;R2,1,0)</f>
        <v>1</v>
      </c>
      <c r="U2" s="1">
        <f t="shared" ref="U2:U17" si="1">IF(R2&lt;Q2,1,0)</f>
        <v>0</v>
      </c>
      <c r="W2" s="1"/>
    </row>
    <row r="3" spans="1:23">
      <c r="A3" t="s">
        <v>18</v>
      </c>
      <c r="B3">
        <v>200</v>
      </c>
      <c r="C3">
        <v>9876</v>
      </c>
      <c r="D3">
        <v>200</v>
      </c>
      <c r="E3">
        <v>9876</v>
      </c>
      <c r="F3">
        <v>0.000132</v>
      </c>
      <c r="G3">
        <v>9876</v>
      </c>
      <c r="H3">
        <v>0.059308</v>
      </c>
      <c r="I3">
        <v>9834</v>
      </c>
      <c r="J3">
        <v>0.391765</v>
      </c>
      <c r="K3">
        <v>1134</v>
      </c>
      <c r="L3">
        <v>2</v>
      </c>
      <c r="M3">
        <v>0.5675</v>
      </c>
      <c r="N3">
        <v>8</v>
      </c>
      <c r="O3">
        <v>0.001305</v>
      </c>
      <c r="P3">
        <v>10</v>
      </c>
      <c r="Q3">
        <v>1.3217</v>
      </c>
      <c r="R3" s="1">
        <v>0.725147</v>
      </c>
      <c r="T3">
        <f t="shared" si="0"/>
        <v>0</v>
      </c>
      <c r="U3" s="1">
        <f t="shared" si="1"/>
        <v>1</v>
      </c>
      <c r="W3" s="1"/>
    </row>
    <row r="4" spans="1:23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0.000154</v>
      </c>
      <c r="G4">
        <v>12048</v>
      </c>
      <c r="H4">
        <v>0.099145</v>
      </c>
      <c r="I4">
        <v>12048</v>
      </c>
      <c r="J4">
        <v>1.29694</v>
      </c>
      <c r="K4">
        <v>1826</v>
      </c>
      <c r="L4">
        <v>2</v>
      </c>
      <c r="M4">
        <v>1.0465</v>
      </c>
      <c r="N4">
        <v>10</v>
      </c>
      <c r="O4">
        <v>0.00176</v>
      </c>
      <c r="P4">
        <v>13</v>
      </c>
      <c r="Q4">
        <v>3.07535</v>
      </c>
      <c r="R4" s="1">
        <v>1.94778</v>
      </c>
      <c r="T4">
        <f t="shared" si="0"/>
        <v>0</v>
      </c>
      <c r="U4" s="1">
        <f t="shared" si="1"/>
        <v>1</v>
      </c>
      <c r="W4" s="1"/>
    </row>
    <row r="5" spans="1:23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0.000232</v>
      </c>
      <c r="G5">
        <v>13089</v>
      </c>
      <c r="H5">
        <v>0.159834</v>
      </c>
      <c r="I5">
        <v>13089</v>
      </c>
      <c r="J5">
        <v>3.4819</v>
      </c>
      <c r="K5">
        <v>1818</v>
      </c>
      <c r="L5">
        <v>0</v>
      </c>
      <c r="M5">
        <v>0.681385</v>
      </c>
      <c r="N5">
        <v>11</v>
      </c>
      <c r="O5">
        <v>0.002859</v>
      </c>
      <c r="P5">
        <v>15</v>
      </c>
      <c r="Q5">
        <v>5.44512</v>
      </c>
      <c r="R5" s="1">
        <v>4.4027</v>
      </c>
      <c r="T5">
        <f t="shared" si="0"/>
        <v>0</v>
      </c>
      <c r="U5" s="1">
        <f t="shared" si="1"/>
        <v>1</v>
      </c>
      <c r="W5" s="1"/>
    </row>
    <row r="6" spans="1:23">
      <c r="A6" t="s">
        <v>21</v>
      </c>
      <c r="B6">
        <v>200</v>
      </c>
      <c r="C6">
        <v>1534</v>
      </c>
      <c r="D6">
        <v>200</v>
      </c>
      <c r="E6">
        <v>1534</v>
      </c>
      <c r="F6" s="3" t="s">
        <v>22</v>
      </c>
      <c r="G6">
        <v>839</v>
      </c>
      <c r="H6">
        <v>0.000947</v>
      </c>
      <c r="I6">
        <v>825</v>
      </c>
      <c r="J6">
        <v>0.106512</v>
      </c>
      <c r="K6">
        <v>716</v>
      </c>
      <c r="L6">
        <v>0</v>
      </c>
      <c r="M6">
        <v>0.022187</v>
      </c>
      <c r="N6">
        <v>10</v>
      </c>
      <c r="O6" s="3" t="s">
        <v>38</v>
      </c>
      <c r="P6">
        <v>10</v>
      </c>
      <c r="Q6">
        <v>0.148625</v>
      </c>
      <c r="R6" s="1">
        <v>0.125804</v>
      </c>
      <c r="T6">
        <f t="shared" si="0"/>
        <v>0</v>
      </c>
      <c r="U6" s="1">
        <f t="shared" si="1"/>
        <v>1</v>
      </c>
      <c r="W6" s="1"/>
    </row>
    <row r="7" spans="1:23">
      <c r="A7" t="s">
        <v>24</v>
      </c>
      <c r="B7">
        <v>200</v>
      </c>
      <c r="C7">
        <v>3235</v>
      </c>
      <c r="D7">
        <v>200</v>
      </c>
      <c r="E7">
        <v>3235</v>
      </c>
      <c r="F7" s="3" t="s">
        <v>39</v>
      </c>
      <c r="G7">
        <v>3235</v>
      </c>
      <c r="H7">
        <v>0.004246</v>
      </c>
      <c r="I7">
        <v>3235</v>
      </c>
      <c r="J7">
        <v>0.310015</v>
      </c>
      <c r="K7">
        <v>608</v>
      </c>
      <c r="L7">
        <v>0</v>
      </c>
      <c r="M7">
        <v>0.064654</v>
      </c>
      <c r="N7">
        <v>21</v>
      </c>
      <c r="O7">
        <v>0.000204</v>
      </c>
      <c r="P7">
        <v>21</v>
      </c>
      <c r="Q7">
        <v>0.401904</v>
      </c>
      <c r="R7" s="1">
        <v>0.410424</v>
      </c>
      <c r="T7">
        <f t="shared" si="0"/>
        <v>1</v>
      </c>
      <c r="U7" s="1">
        <f t="shared" si="1"/>
        <v>0</v>
      </c>
      <c r="W7" s="1"/>
    </row>
    <row r="8" spans="1:23">
      <c r="A8" t="s">
        <v>27</v>
      </c>
      <c r="B8">
        <v>200</v>
      </c>
      <c r="C8">
        <v>8473</v>
      </c>
      <c r="D8">
        <v>200</v>
      </c>
      <c r="E8">
        <v>8473</v>
      </c>
      <c r="F8" s="3" t="s">
        <v>40</v>
      </c>
      <c r="G8">
        <v>8473</v>
      </c>
      <c r="H8">
        <v>0.036716</v>
      </c>
      <c r="I8">
        <v>8473</v>
      </c>
      <c r="J8">
        <v>6.04891</v>
      </c>
      <c r="K8">
        <v>1230</v>
      </c>
      <c r="L8">
        <v>13</v>
      </c>
      <c r="M8">
        <v>2.2325</v>
      </c>
      <c r="N8">
        <v>53</v>
      </c>
      <c r="O8">
        <v>0.000768</v>
      </c>
      <c r="P8">
        <v>53</v>
      </c>
      <c r="Q8">
        <v>8.40639</v>
      </c>
      <c r="R8" s="1">
        <v>9.47518</v>
      </c>
      <c r="T8">
        <f t="shared" si="0"/>
        <v>1</v>
      </c>
      <c r="U8" s="1">
        <f t="shared" si="1"/>
        <v>0</v>
      </c>
      <c r="W8" s="1"/>
    </row>
    <row r="9" spans="1:23">
      <c r="A9" t="s">
        <v>29</v>
      </c>
      <c r="B9">
        <v>200</v>
      </c>
      <c r="C9">
        <v>17910</v>
      </c>
      <c r="D9">
        <v>200</v>
      </c>
      <c r="E9">
        <v>17910</v>
      </c>
      <c r="F9">
        <v>0.000234</v>
      </c>
      <c r="G9">
        <v>17910</v>
      </c>
      <c r="H9">
        <v>0.219914</v>
      </c>
      <c r="I9">
        <v>17910</v>
      </c>
      <c r="J9">
        <v>16.6553</v>
      </c>
      <c r="K9">
        <v>2592</v>
      </c>
      <c r="L9">
        <v>0</v>
      </c>
      <c r="M9">
        <v>-1</v>
      </c>
      <c r="N9">
        <v>28</v>
      </c>
      <c r="O9">
        <v>0.004136</v>
      </c>
      <c r="P9">
        <v>28</v>
      </c>
      <c r="Q9">
        <v>600</v>
      </c>
      <c r="R9" s="1">
        <v>600</v>
      </c>
      <c r="T9">
        <f t="shared" si="0"/>
        <v>0</v>
      </c>
      <c r="U9" s="1">
        <f t="shared" si="1"/>
        <v>0</v>
      </c>
      <c r="W9" s="1"/>
    </row>
    <row r="10" spans="1:23">
      <c r="A10" t="s">
        <v>30</v>
      </c>
      <c r="B10">
        <v>200</v>
      </c>
      <c r="C10">
        <v>17910</v>
      </c>
      <c r="D10">
        <v>200</v>
      </c>
      <c r="E10">
        <v>17910</v>
      </c>
      <c r="F10">
        <v>0.000232</v>
      </c>
      <c r="G10">
        <v>17910</v>
      </c>
      <c r="H10">
        <v>0.244939</v>
      </c>
      <c r="I10">
        <v>17910</v>
      </c>
      <c r="J10">
        <v>11.9814</v>
      </c>
      <c r="K10">
        <v>6225</v>
      </c>
      <c r="L10">
        <v>312</v>
      </c>
      <c r="M10">
        <v>409.33</v>
      </c>
      <c r="N10">
        <v>30</v>
      </c>
      <c r="O10">
        <v>0.004123</v>
      </c>
      <c r="P10">
        <v>40</v>
      </c>
      <c r="Q10">
        <v>423.471</v>
      </c>
      <c r="R10" s="1">
        <v>600</v>
      </c>
      <c r="T10">
        <f t="shared" si="0"/>
        <v>1</v>
      </c>
      <c r="U10" s="1">
        <f t="shared" si="1"/>
        <v>0</v>
      </c>
      <c r="W10" s="1"/>
    </row>
    <row r="11" spans="1:23">
      <c r="A11" t="s">
        <v>31</v>
      </c>
      <c r="B11">
        <v>200</v>
      </c>
      <c r="C11">
        <v>13930</v>
      </c>
      <c r="D11">
        <v>200</v>
      </c>
      <c r="E11">
        <v>13930</v>
      </c>
      <c r="F11">
        <v>0.000186</v>
      </c>
      <c r="G11">
        <v>13930</v>
      </c>
      <c r="H11">
        <v>0.112774</v>
      </c>
      <c r="I11">
        <v>13901</v>
      </c>
      <c r="J11">
        <v>2.19324</v>
      </c>
      <c r="K11">
        <v>2059</v>
      </c>
      <c r="L11">
        <v>154</v>
      </c>
      <c r="M11">
        <v>63.783</v>
      </c>
      <c r="N11">
        <v>16</v>
      </c>
      <c r="O11">
        <v>0.00279</v>
      </c>
      <c r="P11">
        <v>17</v>
      </c>
      <c r="Q11">
        <v>66.5825</v>
      </c>
      <c r="R11" s="1">
        <v>65.2636</v>
      </c>
      <c r="T11">
        <f t="shared" si="0"/>
        <v>0</v>
      </c>
      <c r="U11" s="1">
        <f t="shared" si="1"/>
        <v>1</v>
      </c>
      <c r="W11" s="1"/>
    </row>
    <row r="12" spans="1:23">
      <c r="A12" t="s">
        <v>32</v>
      </c>
      <c r="B12">
        <v>200</v>
      </c>
      <c r="C12">
        <v>13930</v>
      </c>
      <c r="D12">
        <v>200</v>
      </c>
      <c r="E12">
        <v>13930</v>
      </c>
      <c r="F12">
        <v>0.000155</v>
      </c>
      <c r="G12">
        <v>13929</v>
      </c>
      <c r="H12">
        <v>0.090537</v>
      </c>
      <c r="I12">
        <v>13916</v>
      </c>
      <c r="J12">
        <v>2.37786</v>
      </c>
      <c r="K12">
        <v>1787</v>
      </c>
      <c r="L12">
        <v>2</v>
      </c>
      <c r="M12">
        <v>1.14207</v>
      </c>
      <c r="N12">
        <v>12</v>
      </c>
      <c r="O12">
        <v>0.002876</v>
      </c>
      <c r="P12">
        <v>15</v>
      </c>
      <c r="Q12">
        <v>3.91728</v>
      </c>
      <c r="R12" s="1">
        <v>2.61013</v>
      </c>
      <c r="T12">
        <f t="shared" si="0"/>
        <v>0</v>
      </c>
      <c r="U12" s="1">
        <f t="shared" si="1"/>
        <v>1</v>
      </c>
      <c r="W12" s="1"/>
    </row>
    <row r="13" spans="1:23">
      <c r="A13" t="s">
        <v>33</v>
      </c>
      <c r="B13">
        <v>200</v>
      </c>
      <c r="C13">
        <v>17910</v>
      </c>
      <c r="D13">
        <v>200</v>
      </c>
      <c r="E13">
        <v>17910</v>
      </c>
      <c r="F13">
        <v>0.000316</v>
      </c>
      <c r="G13">
        <v>17910</v>
      </c>
      <c r="H13">
        <v>0.274998</v>
      </c>
      <c r="I13">
        <v>17910</v>
      </c>
      <c r="J13">
        <v>6.27318</v>
      </c>
      <c r="K13">
        <v>8518</v>
      </c>
      <c r="L13">
        <v>93</v>
      </c>
      <c r="M13">
        <v>52.4939</v>
      </c>
      <c r="N13">
        <v>40</v>
      </c>
      <c r="O13">
        <v>0.006314</v>
      </c>
      <c r="P13">
        <v>55</v>
      </c>
      <c r="Q13">
        <v>59.4872</v>
      </c>
      <c r="R13" s="1">
        <v>600</v>
      </c>
      <c r="T13">
        <f t="shared" si="0"/>
        <v>1</v>
      </c>
      <c r="U13" s="1">
        <f t="shared" si="1"/>
        <v>0</v>
      </c>
      <c r="W13" s="1"/>
    </row>
    <row r="14" spans="1:23">
      <c r="A14" t="s">
        <v>34</v>
      </c>
      <c r="B14">
        <v>200</v>
      </c>
      <c r="C14">
        <v>17910</v>
      </c>
      <c r="D14">
        <v>200</v>
      </c>
      <c r="E14">
        <v>17910</v>
      </c>
      <c r="F14">
        <v>0.000235</v>
      </c>
      <c r="G14">
        <v>17910</v>
      </c>
      <c r="H14">
        <v>0.295443</v>
      </c>
      <c r="I14">
        <v>17910</v>
      </c>
      <c r="J14">
        <v>12.3528</v>
      </c>
      <c r="K14">
        <v>7431</v>
      </c>
      <c r="L14">
        <v>227</v>
      </c>
      <c r="M14">
        <v>-1</v>
      </c>
      <c r="N14">
        <v>38</v>
      </c>
      <c r="O14">
        <v>0.003988</v>
      </c>
      <c r="P14">
        <v>38</v>
      </c>
      <c r="Q14">
        <v>600</v>
      </c>
      <c r="R14" s="1">
        <v>39.2576</v>
      </c>
      <c r="T14">
        <f t="shared" si="0"/>
        <v>0</v>
      </c>
      <c r="U14" s="1">
        <f t="shared" si="1"/>
        <v>1</v>
      </c>
      <c r="W14" s="1"/>
    </row>
    <row r="15" spans="1:23">
      <c r="A15" t="s">
        <v>35</v>
      </c>
      <c r="B15">
        <v>200</v>
      </c>
      <c r="C15">
        <v>17910</v>
      </c>
      <c r="D15">
        <v>200</v>
      </c>
      <c r="E15">
        <v>17910</v>
      </c>
      <c r="F15">
        <v>0.000211</v>
      </c>
      <c r="G15">
        <v>17910</v>
      </c>
      <c r="H15">
        <v>0.202636</v>
      </c>
      <c r="I15">
        <v>17910</v>
      </c>
      <c r="J15">
        <v>28.4935</v>
      </c>
      <c r="K15">
        <v>2561</v>
      </c>
      <c r="L15">
        <v>0</v>
      </c>
      <c r="M15">
        <v>-1</v>
      </c>
      <c r="N15">
        <v>27</v>
      </c>
      <c r="O15">
        <v>0.004068</v>
      </c>
      <c r="P15">
        <v>27</v>
      </c>
      <c r="Q15">
        <v>600</v>
      </c>
      <c r="R15" s="1">
        <v>600</v>
      </c>
      <c r="T15">
        <f t="shared" si="0"/>
        <v>0</v>
      </c>
      <c r="U15" s="1">
        <f t="shared" si="1"/>
        <v>0</v>
      </c>
      <c r="W15" s="1"/>
    </row>
    <row r="16" spans="1:23">
      <c r="A16" t="s">
        <v>36</v>
      </c>
      <c r="B16">
        <v>200</v>
      </c>
      <c r="C16">
        <v>13868</v>
      </c>
      <c r="D16">
        <v>200</v>
      </c>
      <c r="E16">
        <v>13868</v>
      </c>
      <c r="F16">
        <v>0.000259</v>
      </c>
      <c r="G16">
        <v>13868</v>
      </c>
      <c r="H16">
        <v>0.186125</v>
      </c>
      <c r="I16">
        <v>13868</v>
      </c>
      <c r="J16">
        <v>4.8494</v>
      </c>
      <c r="K16">
        <v>1232</v>
      </c>
      <c r="L16">
        <v>18</v>
      </c>
      <c r="M16">
        <v>21.8839</v>
      </c>
      <c r="N16">
        <v>13</v>
      </c>
      <c r="O16">
        <v>0.00321</v>
      </c>
      <c r="P16">
        <v>16</v>
      </c>
      <c r="Q16">
        <v>29.2624</v>
      </c>
      <c r="R16" s="1">
        <v>34.769</v>
      </c>
      <c r="T16">
        <f t="shared" si="0"/>
        <v>1</v>
      </c>
      <c r="U16" s="1">
        <f t="shared" si="1"/>
        <v>0</v>
      </c>
      <c r="W16" s="1"/>
    </row>
    <row r="17" spans="1:23">
      <c r="A17" t="s">
        <v>37</v>
      </c>
      <c r="B17">
        <v>200</v>
      </c>
      <c r="C17">
        <v>17863</v>
      </c>
      <c r="D17">
        <v>200</v>
      </c>
      <c r="E17">
        <v>17863</v>
      </c>
      <c r="F17">
        <v>0.000218</v>
      </c>
      <c r="G17">
        <v>17863</v>
      </c>
      <c r="H17">
        <v>0.26043</v>
      </c>
      <c r="I17">
        <v>17863</v>
      </c>
      <c r="J17">
        <v>60.8215</v>
      </c>
      <c r="K17">
        <v>2597</v>
      </c>
      <c r="L17">
        <v>0</v>
      </c>
      <c r="M17">
        <v>-1</v>
      </c>
      <c r="N17">
        <v>29</v>
      </c>
      <c r="O17">
        <v>0.004074</v>
      </c>
      <c r="P17">
        <v>29</v>
      </c>
      <c r="Q17">
        <v>600</v>
      </c>
      <c r="R17" s="1">
        <v>600</v>
      </c>
      <c r="T17">
        <f t="shared" si="0"/>
        <v>0</v>
      </c>
      <c r="U17" s="1">
        <f t="shared" si="1"/>
        <v>0</v>
      </c>
      <c r="W17" s="1"/>
    </row>
    <row r="18" spans="1:23">
      <c r="T18">
        <f>COUNTIF(T2:T17,"=1")</f>
        <v>6</v>
      </c>
      <c r="U18">
        <f>COUNTIF(U2:U17,"=1")</f>
        <v>7</v>
      </c>
    </row>
  </sheetData>
  <sortState ref="A2:Q17">
    <sortCondition ref="A2"/>
  </sortState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opLeftCell="J1" workbookViewId="0">
      <selection activeCell="T1" sqref="T$1:U$1048576"/>
    </sheetView>
  </sheetViews>
  <sheetFormatPr defaultColWidth="9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23" max="23" width="4.54545454545455" style="1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/>
      <c r="U1" s="2"/>
    </row>
    <row r="2" spans="1:21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0.00019</v>
      </c>
      <c r="G2">
        <v>14834</v>
      </c>
      <c r="H2">
        <v>0.166277</v>
      </c>
      <c r="I2">
        <v>14834</v>
      </c>
      <c r="J2">
        <v>7.66158</v>
      </c>
      <c r="K2">
        <v>1824</v>
      </c>
      <c r="L2">
        <v>0</v>
      </c>
      <c r="M2">
        <v>1.57333</v>
      </c>
      <c r="N2">
        <v>14</v>
      </c>
      <c r="O2">
        <v>0.002756</v>
      </c>
      <c r="P2">
        <v>19</v>
      </c>
      <c r="Q2">
        <v>17.175</v>
      </c>
      <c r="R2" s="1">
        <v>19.9973</v>
      </c>
      <c r="T2">
        <f t="shared" ref="T2:T17" si="0">IF(Q2&lt;R2,1,0)</f>
        <v>1</v>
      </c>
      <c r="U2" s="1">
        <f t="shared" ref="U2:U17" si="1">IF(R2&lt;Q2,1,0)</f>
        <v>0</v>
      </c>
    </row>
    <row r="3" spans="1:21">
      <c r="A3" t="s">
        <v>18</v>
      </c>
      <c r="B3">
        <v>200</v>
      </c>
      <c r="C3">
        <v>9876</v>
      </c>
      <c r="D3">
        <v>200</v>
      </c>
      <c r="E3">
        <v>9876</v>
      </c>
      <c r="F3">
        <v>0.00013</v>
      </c>
      <c r="G3">
        <v>9876</v>
      </c>
      <c r="H3">
        <v>0.059645</v>
      </c>
      <c r="I3">
        <v>9834</v>
      </c>
      <c r="J3">
        <v>0.42339</v>
      </c>
      <c r="K3">
        <v>1136</v>
      </c>
      <c r="L3">
        <v>2</v>
      </c>
      <c r="M3">
        <v>0.567631</v>
      </c>
      <c r="N3">
        <v>8</v>
      </c>
      <c r="O3">
        <v>0.001283</v>
      </c>
      <c r="P3">
        <v>10</v>
      </c>
      <c r="Q3">
        <v>1.34988</v>
      </c>
      <c r="R3" s="1">
        <v>0.756069</v>
      </c>
      <c r="T3">
        <f t="shared" si="0"/>
        <v>0</v>
      </c>
      <c r="U3" s="1">
        <f t="shared" si="1"/>
        <v>1</v>
      </c>
    </row>
    <row r="4" spans="1:21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0.000202</v>
      </c>
      <c r="G4">
        <v>12048</v>
      </c>
      <c r="H4">
        <v>0.135313</v>
      </c>
      <c r="I4">
        <v>12048</v>
      </c>
      <c r="J4">
        <v>1.32826</v>
      </c>
      <c r="K4">
        <v>1829</v>
      </c>
      <c r="L4">
        <v>2</v>
      </c>
      <c r="M4">
        <v>1.15889</v>
      </c>
      <c r="N4">
        <v>10</v>
      </c>
      <c r="O4">
        <v>0.002205</v>
      </c>
      <c r="P4">
        <v>13</v>
      </c>
      <c r="Q4">
        <v>3.36257</v>
      </c>
      <c r="R4" s="1">
        <v>2.06141</v>
      </c>
      <c r="T4">
        <f t="shared" si="0"/>
        <v>0</v>
      </c>
      <c r="U4" s="1">
        <f t="shared" si="1"/>
        <v>1</v>
      </c>
    </row>
    <row r="5" spans="1:21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0.000169</v>
      </c>
      <c r="G5">
        <v>13089</v>
      </c>
      <c r="H5">
        <v>0.121875</v>
      </c>
      <c r="I5">
        <v>13089</v>
      </c>
      <c r="J5">
        <v>3.13691</v>
      </c>
      <c r="K5">
        <v>1895</v>
      </c>
      <c r="L5">
        <v>34</v>
      </c>
      <c r="M5">
        <v>23.7958</v>
      </c>
      <c r="N5">
        <v>10</v>
      </c>
      <c r="O5">
        <v>0.002156</v>
      </c>
      <c r="P5">
        <v>14</v>
      </c>
      <c r="Q5">
        <v>28.6673</v>
      </c>
      <c r="R5" s="1">
        <v>21.4401</v>
      </c>
      <c r="T5">
        <f t="shared" si="0"/>
        <v>0</v>
      </c>
      <c r="U5" s="1">
        <f t="shared" si="1"/>
        <v>1</v>
      </c>
    </row>
    <row r="6" spans="1:21">
      <c r="A6" t="s">
        <v>21</v>
      </c>
      <c r="B6">
        <v>200</v>
      </c>
      <c r="C6">
        <v>1534</v>
      </c>
      <c r="D6">
        <v>200</v>
      </c>
      <c r="E6">
        <v>1534</v>
      </c>
      <c r="F6" s="3" t="s">
        <v>41</v>
      </c>
      <c r="G6">
        <v>839</v>
      </c>
      <c r="H6">
        <v>0.000923</v>
      </c>
      <c r="I6">
        <v>825</v>
      </c>
      <c r="J6">
        <v>0.104668</v>
      </c>
      <c r="K6">
        <v>718</v>
      </c>
      <c r="L6">
        <v>0</v>
      </c>
      <c r="M6">
        <v>0.022255</v>
      </c>
      <c r="N6">
        <v>10</v>
      </c>
      <c r="O6" s="3" t="s">
        <v>38</v>
      </c>
      <c r="P6">
        <v>10</v>
      </c>
      <c r="Q6">
        <v>0.149519</v>
      </c>
      <c r="R6" s="1">
        <v>0.127783</v>
      </c>
      <c r="T6">
        <f t="shared" si="0"/>
        <v>0</v>
      </c>
      <c r="U6" s="1">
        <f t="shared" si="1"/>
        <v>1</v>
      </c>
    </row>
    <row r="7" spans="1:21">
      <c r="A7" t="s">
        <v>24</v>
      </c>
      <c r="B7">
        <v>200</v>
      </c>
      <c r="C7">
        <v>3235</v>
      </c>
      <c r="D7">
        <v>200</v>
      </c>
      <c r="E7">
        <v>3235</v>
      </c>
      <c r="F7" s="3" t="s">
        <v>42</v>
      </c>
      <c r="G7">
        <v>3235</v>
      </c>
      <c r="H7">
        <v>0.004129</v>
      </c>
      <c r="I7">
        <v>3235</v>
      </c>
      <c r="J7">
        <v>0.300067</v>
      </c>
      <c r="K7">
        <v>1230</v>
      </c>
      <c r="L7">
        <v>12</v>
      </c>
      <c r="M7">
        <v>0.802117</v>
      </c>
      <c r="N7">
        <v>20</v>
      </c>
      <c r="O7">
        <v>0.000193</v>
      </c>
      <c r="P7">
        <v>20</v>
      </c>
      <c r="Q7">
        <v>1.13347</v>
      </c>
      <c r="R7" s="1">
        <v>0.695652</v>
      </c>
      <c r="T7">
        <f t="shared" si="0"/>
        <v>0</v>
      </c>
      <c r="U7" s="1">
        <f t="shared" si="1"/>
        <v>1</v>
      </c>
    </row>
    <row r="8" spans="1:21">
      <c r="A8" t="s">
        <v>27</v>
      </c>
      <c r="B8">
        <v>200</v>
      </c>
      <c r="C8">
        <v>8473</v>
      </c>
      <c r="D8">
        <v>200</v>
      </c>
      <c r="E8">
        <v>8473</v>
      </c>
      <c r="F8" s="3" t="s">
        <v>43</v>
      </c>
      <c r="G8">
        <v>8473</v>
      </c>
      <c r="H8">
        <v>0.05861</v>
      </c>
      <c r="I8">
        <v>8473</v>
      </c>
      <c r="J8">
        <v>6.39196</v>
      </c>
      <c r="K8">
        <v>1882</v>
      </c>
      <c r="L8">
        <v>36</v>
      </c>
      <c r="M8">
        <v>5.36358</v>
      </c>
      <c r="N8">
        <v>51</v>
      </c>
      <c r="O8">
        <v>0.001086</v>
      </c>
      <c r="P8">
        <v>52</v>
      </c>
      <c r="Q8">
        <v>11.9281</v>
      </c>
      <c r="R8" s="1">
        <v>8.46562</v>
      </c>
      <c r="T8">
        <f t="shared" si="0"/>
        <v>0</v>
      </c>
      <c r="U8" s="1">
        <f t="shared" si="1"/>
        <v>1</v>
      </c>
    </row>
    <row r="9" spans="1:21">
      <c r="A9" t="s">
        <v>29</v>
      </c>
      <c r="B9">
        <v>200</v>
      </c>
      <c r="C9">
        <v>17910</v>
      </c>
      <c r="D9">
        <v>200</v>
      </c>
      <c r="E9">
        <v>17910</v>
      </c>
      <c r="F9">
        <v>0.000261</v>
      </c>
      <c r="G9">
        <v>17910</v>
      </c>
      <c r="H9">
        <v>0.220088</v>
      </c>
      <c r="I9">
        <v>17910</v>
      </c>
      <c r="J9">
        <v>18.3279</v>
      </c>
      <c r="K9">
        <v>2746</v>
      </c>
      <c r="L9">
        <v>0</v>
      </c>
      <c r="M9">
        <v>-1</v>
      </c>
      <c r="N9">
        <v>26</v>
      </c>
      <c r="O9">
        <v>0.004357</v>
      </c>
      <c r="P9">
        <v>26</v>
      </c>
      <c r="Q9">
        <v>600</v>
      </c>
      <c r="R9" s="1">
        <v>600</v>
      </c>
      <c r="T9">
        <f t="shared" si="0"/>
        <v>0</v>
      </c>
      <c r="U9" s="1">
        <f t="shared" si="1"/>
        <v>0</v>
      </c>
    </row>
    <row r="10" spans="1:21">
      <c r="A10" t="s">
        <v>30</v>
      </c>
      <c r="B10">
        <v>200</v>
      </c>
      <c r="C10">
        <v>17910</v>
      </c>
      <c r="D10">
        <v>200</v>
      </c>
      <c r="E10">
        <v>17910</v>
      </c>
      <c r="F10">
        <v>0.000224</v>
      </c>
      <c r="G10">
        <v>17910</v>
      </c>
      <c r="H10">
        <v>0.245511</v>
      </c>
      <c r="I10">
        <v>17910</v>
      </c>
      <c r="J10">
        <v>12.576</v>
      </c>
      <c r="K10">
        <v>3204</v>
      </c>
      <c r="L10">
        <v>0</v>
      </c>
      <c r="M10">
        <v>-1</v>
      </c>
      <c r="N10">
        <v>28</v>
      </c>
      <c r="O10">
        <v>0.004129</v>
      </c>
      <c r="P10">
        <v>28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31</v>
      </c>
      <c r="B11">
        <v>200</v>
      </c>
      <c r="C11">
        <v>13930</v>
      </c>
      <c r="D11">
        <v>200</v>
      </c>
      <c r="E11">
        <v>13930</v>
      </c>
      <c r="F11">
        <v>0.000251</v>
      </c>
      <c r="G11">
        <v>13930</v>
      </c>
      <c r="H11">
        <v>0.142266</v>
      </c>
      <c r="I11">
        <v>13930</v>
      </c>
      <c r="J11">
        <v>2.60947</v>
      </c>
      <c r="K11">
        <v>2039</v>
      </c>
      <c r="L11">
        <v>107</v>
      </c>
      <c r="M11">
        <v>50.3613</v>
      </c>
      <c r="N11">
        <v>15</v>
      </c>
      <c r="O11">
        <v>0.00369</v>
      </c>
      <c r="P11">
        <v>17</v>
      </c>
      <c r="Q11">
        <v>53.8399</v>
      </c>
      <c r="R11" s="1">
        <v>25.9413</v>
      </c>
      <c r="T11">
        <f t="shared" si="0"/>
        <v>0</v>
      </c>
      <c r="U11" s="1">
        <f t="shared" si="1"/>
        <v>1</v>
      </c>
    </row>
    <row r="12" spans="1:21">
      <c r="A12" t="s">
        <v>32</v>
      </c>
      <c r="B12">
        <v>200</v>
      </c>
      <c r="C12">
        <v>13930</v>
      </c>
      <c r="D12">
        <v>200</v>
      </c>
      <c r="E12">
        <v>13930</v>
      </c>
      <c r="F12">
        <v>0.000153</v>
      </c>
      <c r="G12">
        <v>13930</v>
      </c>
      <c r="H12">
        <v>0.090535</v>
      </c>
      <c r="I12">
        <v>13929</v>
      </c>
      <c r="J12">
        <v>2.34194</v>
      </c>
      <c r="K12">
        <v>1828</v>
      </c>
      <c r="L12">
        <v>1</v>
      </c>
      <c r="M12">
        <v>0.920824</v>
      </c>
      <c r="N12">
        <v>11</v>
      </c>
      <c r="O12">
        <v>0.002872</v>
      </c>
      <c r="P12">
        <v>15</v>
      </c>
      <c r="Q12">
        <v>3.72076</v>
      </c>
      <c r="R12" s="1">
        <v>2.64615</v>
      </c>
      <c r="T12">
        <f t="shared" si="0"/>
        <v>0</v>
      </c>
      <c r="U12" s="1">
        <f t="shared" si="1"/>
        <v>1</v>
      </c>
    </row>
    <row r="13" spans="1:21">
      <c r="A13" t="s">
        <v>33</v>
      </c>
      <c r="B13">
        <v>200</v>
      </c>
      <c r="C13">
        <v>17910</v>
      </c>
      <c r="D13">
        <v>200</v>
      </c>
      <c r="E13">
        <v>17910</v>
      </c>
      <c r="F13">
        <v>0.000203</v>
      </c>
      <c r="G13">
        <v>17910</v>
      </c>
      <c r="H13">
        <v>0.281994</v>
      </c>
      <c r="I13">
        <v>17910</v>
      </c>
      <c r="J13">
        <v>6.54594</v>
      </c>
      <c r="K13">
        <v>9178</v>
      </c>
      <c r="L13">
        <v>874</v>
      </c>
      <c r="M13">
        <v>-1</v>
      </c>
      <c r="N13">
        <v>38</v>
      </c>
      <c r="O13">
        <v>0.004182</v>
      </c>
      <c r="P13">
        <v>38</v>
      </c>
      <c r="Q13">
        <v>600</v>
      </c>
      <c r="R13" s="1">
        <v>600</v>
      </c>
      <c r="T13">
        <f t="shared" si="0"/>
        <v>0</v>
      </c>
      <c r="U13" s="1">
        <f t="shared" si="1"/>
        <v>0</v>
      </c>
    </row>
    <row r="14" spans="1:21">
      <c r="A14" t="s">
        <v>34</v>
      </c>
      <c r="B14">
        <v>200</v>
      </c>
      <c r="C14">
        <v>17910</v>
      </c>
      <c r="D14">
        <v>200</v>
      </c>
      <c r="E14">
        <v>17910</v>
      </c>
      <c r="F14">
        <v>0.000292</v>
      </c>
      <c r="G14">
        <v>17910</v>
      </c>
      <c r="H14">
        <v>0.299811</v>
      </c>
      <c r="I14">
        <v>17910</v>
      </c>
      <c r="J14">
        <v>11.8189</v>
      </c>
      <c r="K14">
        <v>1904</v>
      </c>
      <c r="L14">
        <v>0</v>
      </c>
      <c r="M14">
        <v>-1</v>
      </c>
      <c r="N14">
        <v>36</v>
      </c>
      <c r="O14">
        <v>0.005177</v>
      </c>
      <c r="P14">
        <v>36</v>
      </c>
      <c r="Q14">
        <v>600</v>
      </c>
      <c r="R14" s="1">
        <v>600</v>
      </c>
      <c r="T14">
        <f t="shared" si="0"/>
        <v>0</v>
      </c>
      <c r="U14" s="1">
        <f t="shared" si="1"/>
        <v>0</v>
      </c>
    </row>
    <row r="15" spans="1:21">
      <c r="A15" t="s">
        <v>35</v>
      </c>
      <c r="B15">
        <v>200</v>
      </c>
      <c r="C15">
        <v>17910</v>
      </c>
      <c r="D15">
        <v>200</v>
      </c>
      <c r="E15">
        <v>17910</v>
      </c>
      <c r="F15">
        <v>0.000247</v>
      </c>
      <c r="G15">
        <v>17910</v>
      </c>
      <c r="H15">
        <v>0.203014</v>
      </c>
      <c r="I15">
        <v>17910</v>
      </c>
      <c r="J15">
        <v>29.6097</v>
      </c>
      <c r="K15">
        <v>2511</v>
      </c>
      <c r="L15">
        <v>0</v>
      </c>
      <c r="M15">
        <v>-1</v>
      </c>
      <c r="N15">
        <v>26</v>
      </c>
      <c r="O15">
        <v>0.004087</v>
      </c>
      <c r="P15">
        <v>26</v>
      </c>
      <c r="Q15">
        <v>600</v>
      </c>
      <c r="R15" s="1">
        <v>600</v>
      </c>
      <c r="T15">
        <f t="shared" si="0"/>
        <v>0</v>
      </c>
      <c r="U15" s="1">
        <f t="shared" si="1"/>
        <v>0</v>
      </c>
    </row>
    <row r="16" spans="1:21">
      <c r="A16" t="s">
        <v>36</v>
      </c>
      <c r="B16">
        <v>200</v>
      </c>
      <c r="C16">
        <v>13868</v>
      </c>
      <c r="D16">
        <v>200</v>
      </c>
      <c r="E16">
        <v>13868</v>
      </c>
      <c r="F16">
        <v>0.000181</v>
      </c>
      <c r="G16">
        <v>13868</v>
      </c>
      <c r="H16">
        <v>0.138398</v>
      </c>
      <c r="I16">
        <v>13868</v>
      </c>
      <c r="J16">
        <v>4.39249</v>
      </c>
      <c r="K16">
        <v>1862</v>
      </c>
      <c r="L16">
        <v>19</v>
      </c>
      <c r="M16">
        <v>21.8087</v>
      </c>
      <c r="N16">
        <v>12</v>
      </c>
      <c r="O16">
        <v>0.002328</v>
      </c>
      <c r="P16">
        <v>16</v>
      </c>
      <c r="Q16">
        <v>28.821</v>
      </c>
      <c r="R16" s="1">
        <v>25.5137</v>
      </c>
      <c r="T16">
        <f t="shared" si="0"/>
        <v>0</v>
      </c>
      <c r="U16" s="1">
        <f t="shared" si="1"/>
        <v>1</v>
      </c>
    </row>
    <row r="17" spans="1:21">
      <c r="A17" t="s">
        <v>37</v>
      </c>
      <c r="B17">
        <v>200</v>
      </c>
      <c r="C17">
        <v>17863</v>
      </c>
      <c r="D17">
        <v>200</v>
      </c>
      <c r="E17">
        <v>17863</v>
      </c>
      <c r="F17">
        <v>0.000222</v>
      </c>
      <c r="G17">
        <v>17863</v>
      </c>
      <c r="H17">
        <v>0.261086</v>
      </c>
      <c r="I17">
        <v>17863</v>
      </c>
      <c r="J17">
        <v>60.8362</v>
      </c>
      <c r="K17">
        <v>2607</v>
      </c>
      <c r="L17">
        <v>0</v>
      </c>
      <c r="M17">
        <v>-1</v>
      </c>
      <c r="N17">
        <v>28</v>
      </c>
      <c r="O17">
        <v>0.004107</v>
      </c>
      <c r="P17">
        <v>28</v>
      </c>
      <c r="Q17">
        <v>600</v>
      </c>
      <c r="R17" s="1">
        <v>600</v>
      </c>
      <c r="T17">
        <f t="shared" si="0"/>
        <v>0</v>
      </c>
      <c r="U17" s="1">
        <f t="shared" si="1"/>
        <v>0</v>
      </c>
    </row>
    <row r="18" spans="1:21">
      <c r="T18">
        <f>COUNTIF(T2:T17,"=1")</f>
        <v>1</v>
      </c>
      <c r="U18">
        <f>COUNTIF(U2:U17,"=1")</f>
        <v>9</v>
      </c>
    </row>
  </sheetData>
  <sortState ref="A2:Q17">
    <sortCondition ref="A2"/>
  </sortState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opLeftCell="N1" workbookViewId="0">
      <selection activeCell="T1" sqref="T$1:U$1048576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20" max="21" width="9"/>
    <col min="23" max="23" width="4.54545454545455" style="1" customWidth="1"/>
    <col min="24" max="24" width="9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/>
      <c r="U1" s="2"/>
    </row>
    <row r="2" spans="1:21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0.000223</v>
      </c>
      <c r="G2">
        <v>14834</v>
      </c>
      <c r="H2">
        <v>0.167332</v>
      </c>
      <c r="I2">
        <v>14834</v>
      </c>
      <c r="J2">
        <v>7.36489</v>
      </c>
      <c r="K2">
        <v>1827</v>
      </c>
      <c r="L2">
        <v>0</v>
      </c>
      <c r="M2">
        <v>110.559</v>
      </c>
      <c r="N2">
        <v>13</v>
      </c>
      <c r="O2">
        <v>0.002771</v>
      </c>
      <c r="P2">
        <v>19</v>
      </c>
      <c r="Q2">
        <v>126.198</v>
      </c>
      <c r="R2" s="1">
        <v>481.854</v>
      </c>
      <c r="T2">
        <f t="shared" ref="T2:T17" si="0">IF(Q2&lt;R2,1,0)</f>
        <v>1</v>
      </c>
      <c r="U2" s="1">
        <f t="shared" ref="U2:U17" si="1">IF(R2&lt;Q2,1,0)</f>
        <v>0</v>
      </c>
    </row>
    <row r="3" spans="1:21">
      <c r="A3" t="s">
        <v>18</v>
      </c>
      <c r="B3">
        <v>200</v>
      </c>
      <c r="C3">
        <v>9876</v>
      </c>
      <c r="D3">
        <v>200</v>
      </c>
      <c r="E3">
        <v>9876</v>
      </c>
      <c r="F3">
        <v>0.000548</v>
      </c>
      <c r="G3">
        <v>9876</v>
      </c>
      <c r="H3">
        <v>0.07049</v>
      </c>
      <c r="I3">
        <v>9876</v>
      </c>
      <c r="J3">
        <v>0.445982</v>
      </c>
      <c r="K3">
        <v>1229</v>
      </c>
      <c r="L3">
        <v>11</v>
      </c>
      <c r="M3">
        <v>3.38338</v>
      </c>
      <c r="N3">
        <v>7</v>
      </c>
      <c r="O3">
        <v>0.002177</v>
      </c>
      <c r="P3">
        <v>9</v>
      </c>
      <c r="Q3">
        <v>4.26482</v>
      </c>
      <c r="R3" s="1">
        <v>8.70493</v>
      </c>
      <c r="T3">
        <f t="shared" si="0"/>
        <v>1</v>
      </c>
      <c r="U3" s="1">
        <f t="shared" si="1"/>
        <v>0</v>
      </c>
    </row>
    <row r="4" spans="1:21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0.000165</v>
      </c>
      <c r="G4">
        <v>12048</v>
      </c>
      <c r="H4">
        <v>0.098303</v>
      </c>
      <c r="I4">
        <v>12048</v>
      </c>
      <c r="J4">
        <v>1.30146</v>
      </c>
      <c r="K4">
        <v>1832</v>
      </c>
      <c r="L4">
        <v>2</v>
      </c>
      <c r="M4">
        <v>1.02301</v>
      </c>
      <c r="N4">
        <v>9</v>
      </c>
      <c r="O4">
        <v>0.001763</v>
      </c>
      <c r="P4">
        <v>13</v>
      </c>
      <c r="Q4">
        <v>3.18817</v>
      </c>
      <c r="R4" s="1">
        <v>2.15644</v>
      </c>
      <c r="T4">
        <f t="shared" si="0"/>
        <v>0</v>
      </c>
      <c r="U4" s="1">
        <f t="shared" si="1"/>
        <v>1</v>
      </c>
    </row>
    <row r="5" spans="1:21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0.00017</v>
      </c>
      <c r="G5">
        <v>13089</v>
      </c>
      <c r="H5">
        <v>0.121263</v>
      </c>
      <c r="I5">
        <v>13089</v>
      </c>
      <c r="J5">
        <v>3.21834</v>
      </c>
      <c r="K5">
        <v>1860</v>
      </c>
      <c r="L5">
        <v>15</v>
      </c>
      <c r="M5">
        <v>9.78574</v>
      </c>
      <c r="N5">
        <v>10</v>
      </c>
      <c r="O5">
        <v>0.002152</v>
      </c>
      <c r="P5">
        <v>14</v>
      </c>
      <c r="Q5">
        <v>15.0283</v>
      </c>
      <c r="R5" s="1">
        <v>21.0593</v>
      </c>
      <c r="T5">
        <f t="shared" si="0"/>
        <v>1</v>
      </c>
      <c r="U5" s="1">
        <f t="shared" si="1"/>
        <v>0</v>
      </c>
    </row>
    <row r="6" spans="1:21">
      <c r="A6" t="s">
        <v>21</v>
      </c>
      <c r="B6">
        <v>200</v>
      </c>
      <c r="C6">
        <v>1534</v>
      </c>
      <c r="D6">
        <v>200</v>
      </c>
      <c r="E6">
        <v>1534</v>
      </c>
      <c r="F6" s="3" t="s">
        <v>44</v>
      </c>
      <c r="G6">
        <v>839</v>
      </c>
      <c r="H6">
        <v>0.001529</v>
      </c>
      <c r="I6">
        <v>825</v>
      </c>
      <c r="J6">
        <v>0.117176</v>
      </c>
      <c r="K6">
        <v>720</v>
      </c>
      <c r="L6">
        <v>0</v>
      </c>
      <c r="M6">
        <v>0.039719</v>
      </c>
      <c r="N6">
        <v>10</v>
      </c>
      <c r="O6">
        <v>0.00011</v>
      </c>
      <c r="P6">
        <v>10</v>
      </c>
      <c r="Q6">
        <v>0.181248</v>
      </c>
      <c r="R6" s="1">
        <v>0.136452</v>
      </c>
      <c r="T6">
        <f t="shared" si="0"/>
        <v>0</v>
      </c>
      <c r="U6" s="1">
        <f t="shared" si="1"/>
        <v>1</v>
      </c>
    </row>
    <row r="7" spans="1:21">
      <c r="A7" t="s">
        <v>24</v>
      </c>
      <c r="B7">
        <v>200</v>
      </c>
      <c r="C7">
        <v>3235</v>
      </c>
      <c r="D7">
        <v>200</v>
      </c>
      <c r="E7">
        <v>3235</v>
      </c>
      <c r="F7" s="3" t="s">
        <v>45</v>
      </c>
      <c r="G7">
        <v>3235</v>
      </c>
      <c r="H7">
        <v>0.007216</v>
      </c>
      <c r="I7">
        <v>3235</v>
      </c>
      <c r="J7">
        <v>0.461163</v>
      </c>
      <c r="K7">
        <v>1241</v>
      </c>
      <c r="L7">
        <v>21</v>
      </c>
      <c r="M7">
        <v>0.861602</v>
      </c>
      <c r="N7">
        <v>20</v>
      </c>
      <c r="O7">
        <v>0.000283</v>
      </c>
      <c r="P7">
        <v>20</v>
      </c>
      <c r="Q7">
        <v>1.39213</v>
      </c>
      <c r="R7" s="1">
        <v>0.463969</v>
      </c>
      <c r="T7">
        <f t="shared" si="0"/>
        <v>0</v>
      </c>
      <c r="U7" s="1">
        <f t="shared" si="1"/>
        <v>1</v>
      </c>
    </row>
    <row r="8" spans="1:21">
      <c r="A8" t="s">
        <v>27</v>
      </c>
      <c r="B8">
        <v>200</v>
      </c>
      <c r="C8">
        <v>8473</v>
      </c>
      <c r="D8">
        <v>200</v>
      </c>
      <c r="E8">
        <v>8473</v>
      </c>
      <c r="F8" s="3" t="s">
        <v>40</v>
      </c>
      <c r="G8">
        <v>8473</v>
      </c>
      <c r="H8">
        <v>0.034972</v>
      </c>
      <c r="I8">
        <v>8473</v>
      </c>
      <c r="J8">
        <v>6.31228</v>
      </c>
      <c r="K8">
        <v>2131</v>
      </c>
      <c r="L8">
        <v>146</v>
      </c>
      <c r="M8">
        <v>22.7408</v>
      </c>
      <c r="N8">
        <v>49</v>
      </c>
      <c r="O8">
        <v>0.000753</v>
      </c>
      <c r="P8">
        <v>50</v>
      </c>
      <c r="Q8">
        <v>29.2664</v>
      </c>
      <c r="R8" s="1">
        <v>16.3277</v>
      </c>
      <c r="T8">
        <f t="shared" si="0"/>
        <v>0</v>
      </c>
      <c r="U8" s="1">
        <f t="shared" si="1"/>
        <v>1</v>
      </c>
    </row>
    <row r="9" spans="1:21">
      <c r="A9" t="s">
        <v>29</v>
      </c>
      <c r="B9">
        <v>200</v>
      </c>
      <c r="C9">
        <v>17910</v>
      </c>
      <c r="D9">
        <v>200</v>
      </c>
      <c r="E9">
        <v>17910</v>
      </c>
      <c r="F9">
        <v>0.000312</v>
      </c>
      <c r="G9">
        <v>17910</v>
      </c>
      <c r="H9">
        <v>0.247917</v>
      </c>
      <c r="I9">
        <v>17910</v>
      </c>
      <c r="J9">
        <v>17.4816</v>
      </c>
      <c r="K9">
        <v>2769</v>
      </c>
      <c r="L9">
        <v>0</v>
      </c>
      <c r="M9">
        <v>-1</v>
      </c>
      <c r="N9">
        <v>25</v>
      </c>
      <c r="O9">
        <v>0.005888</v>
      </c>
      <c r="P9">
        <v>25</v>
      </c>
      <c r="Q9">
        <v>600</v>
      </c>
      <c r="R9" s="1">
        <v>600</v>
      </c>
      <c r="T9">
        <f t="shared" si="0"/>
        <v>0</v>
      </c>
      <c r="U9" s="1">
        <f t="shared" si="1"/>
        <v>0</v>
      </c>
    </row>
    <row r="10" spans="1:21">
      <c r="A10" t="s">
        <v>30</v>
      </c>
      <c r="B10">
        <v>200</v>
      </c>
      <c r="C10">
        <v>17910</v>
      </c>
      <c r="D10">
        <v>200</v>
      </c>
      <c r="E10">
        <v>17910</v>
      </c>
      <c r="F10">
        <v>0.000221</v>
      </c>
      <c r="G10">
        <v>17910</v>
      </c>
      <c r="H10">
        <v>0.24515</v>
      </c>
      <c r="I10">
        <v>17910</v>
      </c>
      <c r="J10">
        <v>11.9432</v>
      </c>
      <c r="K10">
        <v>3143</v>
      </c>
      <c r="L10">
        <v>0</v>
      </c>
      <c r="M10">
        <v>-1</v>
      </c>
      <c r="N10">
        <v>27</v>
      </c>
      <c r="O10">
        <v>0.004148</v>
      </c>
      <c r="P10">
        <v>27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31</v>
      </c>
      <c r="B11">
        <v>200</v>
      </c>
      <c r="C11">
        <v>13930</v>
      </c>
      <c r="D11">
        <v>200</v>
      </c>
      <c r="E11">
        <v>13930</v>
      </c>
      <c r="F11">
        <v>0.000186</v>
      </c>
      <c r="G11">
        <v>13930</v>
      </c>
      <c r="H11">
        <v>0.113446</v>
      </c>
      <c r="I11">
        <v>13930</v>
      </c>
      <c r="J11">
        <v>2.22362</v>
      </c>
      <c r="K11">
        <v>1295</v>
      </c>
      <c r="L11">
        <v>61</v>
      </c>
      <c r="M11">
        <v>26.9456</v>
      </c>
      <c r="N11">
        <v>15</v>
      </c>
      <c r="O11">
        <v>0.002839</v>
      </c>
      <c r="P11">
        <v>17</v>
      </c>
      <c r="Q11">
        <v>30.3077</v>
      </c>
      <c r="R11" s="1">
        <v>26.6066</v>
      </c>
      <c r="T11">
        <f t="shared" si="0"/>
        <v>0</v>
      </c>
      <c r="U11" s="1">
        <f t="shared" si="1"/>
        <v>1</v>
      </c>
    </row>
    <row r="12" spans="1:21">
      <c r="A12" t="s">
        <v>32</v>
      </c>
      <c r="B12">
        <v>200</v>
      </c>
      <c r="C12">
        <v>13930</v>
      </c>
      <c r="D12">
        <v>200</v>
      </c>
      <c r="E12">
        <v>13930</v>
      </c>
      <c r="F12">
        <v>0.000155</v>
      </c>
      <c r="G12">
        <v>13930</v>
      </c>
      <c r="H12">
        <v>0.095946</v>
      </c>
      <c r="I12">
        <v>13929</v>
      </c>
      <c r="J12">
        <v>2.45003</v>
      </c>
      <c r="K12">
        <v>1346</v>
      </c>
      <c r="L12">
        <v>0</v>
      </c>
      <c r="M12">
        <v>-1</v>
      </c>
      <c r="N12">
        <v>11</v>
      </c>
      <c r="O12">
        <v>0.002886</v>
      </c>
      <c r="P12">
        <v>11</v>
      </c>
      <c r="Q12">
        <v>600</v>
      </c>
      <c r="R12" s="1">
        <v>600</v>
      </c>
      <c r="T12">
        <f t="shared" si="0"/>
        <v>0</v>
      </c>
      <c r="U12" s="1">
        <f t="shared" si="1"/>
        <v>0</v>
      </c>
    </row>
    <row r="13" spans="1:21">
      <c r="A13" t="s">
        <v>33</v>
      </c>
      <c r="B13">
        <v>200</v>
      </c>
      <c r="C13">
        <v>17910</v>
      </c>
      <c r="D13">
        <v>200</v>
      </c>
      <c r="E13">
        <v>17910</v>
      </c>
      <c r="F13">
        <v>0.000204</v>
      </c>
      <c r="G13">
        <v>17910</v>
      </c>
      <c r="H13">
        <v>0.244487</v>
      </c>
      <c r="I13">
        <v>17910</v>
      </c>
      <c r="J13">
        <v>6.88306</v>
      </c>
      <c r="K13">
        <v>5752</v>
      </c>
      <c r="L13">
        <v>116</v>
      </c>
      <c r="M13">
        <v>-1</v>
      </c>
      <c r="N13">
        <v>37</v>
      </c>
      <c r="O13">
        <v>0.00415</v>
      </c>
      <c r="P13">
        <v>37</v>
      </c>
      <c r="Q13">
        <v>600</v>
      </c>
      <c r="R13" s="1">
        <v>600</v>
      </c>
      <c r="T13">
        <f t="shared" si="0"/>
        <v>0</v>
      </c>
      <c r="U13" s="1">
        <f t="shared" si="1"/>
        <v>0</v>
      </c>
    </row>
    <row r="14" spans="1:21">
      <c r="A14" t="s">
        <v>34</v>
      </c>
      <c r="B14">
        <v>200</v>
      </c>
      <c r="C14">
        <v>17910</v>
      </c>
      <c r="D14">
        <v>200</v>
      </c>
      <c r="E14">
        <v>17910</v>
      </c>
      <c r="F14">
        <v>0.000369</v>
      </c>
      <c r="G14">
        <v>17910</v>
      </c>
      <c r="H14">
        <v>0.231741</v>
      </c>
      <c r="I14">
        <v>17910</v>
      </c>
      <c r="J14">
        <v>12.4127</v>
      </c>
      <c r="K14">
        <v>1599</v>
      </c>
      <c r="L14">
        <v>0</v>
      </c>
      <c r="M14">
        <v>-1</v>
      </c>
      <c r="N14">
        <v>33</v>
      </c>
      <c r="O14">
        <v>0.005539</v>
      </c>
      <c r="P14">
        <v>33</v>
      </c>
      <c r="Q14">
        <v>600</v>
      </c>
      <c r="R14" s="1">
        <v>600</v>
      </c>
      <c r="T14">
        <f t="shared" si="0"/>
        <v>0</v>
      </c>
      <c r="U14" s="1">
        <f t="shared" si="1"/>
        <v>0</v>
      </c>
    </row>
    <row r="15" spans="1:21">
      <c r="A15" t="s">
        <v>35</v>
      </c>
      <c r="B15">
        <v>200</v>
      </c>
      <c r="C15">
        <v>17910</v>
      </c>
      <c r="D15">
        <v>200</v>
      </c>
      <c r="E15">
        <v>17910</v>
      </c>
      <c r="F15">
        <v>0.0003</v>
      </c>
      <c r="G15">
        <v>17910</v>
      </c>
      <c r="H15">
        <v>0.245379</v>
      </c>
      <c r="I15">
        <v>17910</v>
      </c>
      <c r="J15">
        <v>28.544</v>
      </c>
      <c r="K15">
        <v>2594</v>
      </c>
      <c r="L15">
        <v>0</v>
      </c>
      <c r="M15">
        <v>-1</v>
      </c>
      <c r="N15">
        <v>25</v>
      </c>
      <c r="O15">
        <v>0.005879</v>
      </c>
      <c r="P15">
        <v>25</v>
      </c>
      <c r="Q15">
        <v>600</v>
      </c>
      <c r="R15" s="1">
        <v>600</v>
      </c>
      <c r="T15">
        <f t="shared" si="0"/>
        <v>0</v>
      </c>
      <c r="U15" s="1">
        <f t="shared" si="1"/>
        <v>0</v>
      </c>
    </row>
    <row r="16" spans="1:21">
      <c r="A16" t="s">
        <v>36</v>
      </c>
      <c r="B16">
        <v>200</v>
      </c>
      <c r="C16">
        <v>13868</v>
      </c>
      <c r="D16">
        <v>200</v>
      </c>
      <c r="E16">
        <v>13868</v>
      </c>
      <c r="F16">
        <v>0.000186</v>
      </c>
      <c r="G16">
        <v>13868</v>
      </c>
      <c r="H16">
        <v>0.13861</v>
      </c>
      <c r="I16">
        <v>13868</v>
      </c>
      <c r="J16">
        <v>4.46431</v>
      </c>
      <c r="K16">
        <v>1841</v>
      </c>
      <c r="L16">
        <v>7</v>
      </c>
      <c r="M16">
        <v>9.49509</v>
      </c>
      <c r="N16">
        <v>12</v>
      </c>
      <c r="O16">
        <v>0.002378</v>
      </c>
      <c r="P16">
        <v>16</v>
      </c>
      <c r="Q16">
        <v>16.9279</v>
      </c>
      <c r="R16" s="1">
        <v>26.2463</v>
      </c>
      <c r="T16">
        <f t="shared" si="0"/>
        <v>1</v>
      </c>
      <c r="U16" s="1">
        <f t="shared" si="1"/>
        <v>0</v>
      </c>
    </row>
    <row r="17" spans="1:21">
      <c r="A17" t="s">
        <v>37</v>
      </c>
      <c r="B17">
        <v>200</v>
      </c>
      <c r="C17">
        <v>17863</v>
      </c>
      <c r="D17">
        <v>200</v>
      </c>
      <c r="E17">
        <v>17863</v>
      </c>
      <c r="F17">
        <v>0.000237</v>
      </c>
      <c r="G17">
        <v>17863</v>
      </c>
      <c r="H17">
        <v>0.28135</v>
      </c>
      <c r="I17">
        <v>17863</v>
      </c>
      <c r="J17">
        <v>61.7188</v>
      </c>
      <c r="K17">
        <v>2607</v>
      </c>
      <c r="L17">
        <v>0</v>
      </c>
      <c r="M17">
        <v>-1</v>
      </c>
      <c r="N17">
        <v>26</v>
      </c>
      <c r="O17">
        <v>0.004572</v>
      </c>
      <c r="P17">
        <v>26</v>
      </c>
      <c r="Q17">
        <v>600</v>
      </c>
      <c r="R17" s="1">
        <v>600</v>
      </c>
      <c r="T17">
        <f t="shared" si="0"/>
        <v>0</v>
      </c>
      <c r="U17" s="1">
        <f t="shared" si="1"/>
        <v>0</v>
      </c>
    </row>
    <row r="18" spans="1:21">
      <c r="T18">
        <f>COUNTIF(T2:T17,"=1")</f>
        <v>4</v>
      </c>
      <c r="U18">
        <f>COUNTIF(U2:U17,"=1")</f>
        <v>5</v>
      </c>
    </row>
  </sheetData>
  <sortState ref="A2:Q17">
    <sortCondition ref="A2"/>
  </sortState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8"/>
  <sheetViews>
    <sheetView topLeftCell="J1" workbookViewId="0">
      <selection activeCell="T1" sqref="T$1:U$1048576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20" max="21" width="9"/>
    <col min="23" max="23" width="4.54545454545455" style="1" customWidth="1"/>
    <col min="24" max="24" width="9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T1" s="2"/>
      <c r="U1" s="2"/>
    </row>
    <row r="2" spans="1:21">
      <c r="A2" t="s">
        <v>17</v>
      </c>
      <c r="B2">
        <v>200</v>
      </c>
      <c r="C2">
        <v>14834</v>
      </c>
      <c r="D2">
        <v>200</v>
      </c>
      <c r="E2">
        <v>14834</v>
      </c>
      <c r="F2">
        <v>0.000198</v>
      </c>
      <c r="G2">
        <v>14834</v>
      </c>
      <c r="H2">
        <v>0.164676</v>
      </c>
      <c r="I2">
        <v>14834</v>
      </c>
      <c r="J2">
        <v>7.34943</v>
      </c>
      <c r="K2">
        <v>1242</v>
      </c>
      <c r="L2">
        <v>0</v>
      </c>
      <c r="M2">
        <v>-1</v>
      </c>
      <c r="N2">
        <v>12</v>
      </c>
      <c r="O2">
        <v>0.002749</v>
      </c>
      <c r="P2">
        <v>12</v>
      </c>
      <c r="Q2">
        <v>600</v>
      </c>
      <c r="R2" s="1">
        <v>600</v>
      </c>
      <c r="T2">
        <f t="shared" ref="T2:T17" si="0">IF(Q2&lt;R2,1,0)</f>
        <v>0</v>
      </c>
      <c r="U2" s="1">
        <f t="shared" ref="U2:U17" si="1">IF(R2&lt;Q2,1,0)</f>
        <v>0</v>
      </c>
    </row>
    <row r="3" spans="1:21">
      <c r="A3" t="s">
        <v>18</v>
      </c>
      <c r="B3">
        <v>200</v>
      </c>
      <c r="C3">
        <v>9876</v>
      </c>
      <c r="D3">
        <v>200</v>
      </c>
      <c r="E3">
        <v>9876</v>
      </c>
      <c r="F3">
        <v>0.000172</v>
      </c>
      <c r="G3">
        <v>9876</v>
      </c>
      <c r="H3">
        <v>0.076696</v>
      </c>
      <c r="I3">
        <v>9875</v>
      </c>
      <c r="J3">
        <v>0.409604</v>
      </c>
      <c r="K3">
        <v>1250</v>
      </c>
      <c r="L3">
        <v>32</v>
      </c>
      <c r="M3">
        <v>10.9822</v>
      </c>
      <c r="N3">
        <v>7</v>
      </c>
      <c r="O3">
        <v>0.001666</v>
      </c>
      <c r="P3">
        <v>9</v>
      </c>
      <c r="Q3">
        <v>11.8994</v>
      </c>
      <c r="R3" s="1">
        <v>8.57643</v>
      </c>
      <c r="T3">
        <f t="shared" si="0"/>
        <v>0</v>
      </c>
      <c r="U3" s="1">
        <f t="shared" si="1"/>
        <v>1</v>
      </c>
    </row>
    <row r="4" spans="1:21">
      <c r="A4" t="s">
        <v>19</v>
      </c>
      <c r="B4">
        <v>200</v>
      </c>
      <c r="C4">
        <v>12048</v>
      </c>
      <c r="D4">
        <v>200</v>
      </c>
      <c r="E4">
        <v>12048</v>
      </c>
      <c r="F4">
        <v>0.000157</v>
      </c>
      <c r="G4">
        <v>12048</v>
      </c>
      <c r="H4">
        <v>0.098934</v>
      </c>
      <c r="I4">
        <v>12048</v>
      </c>
      <c r="J4">
        <v>1.28143</v>
      </c>
      <c r="K4">
        <v>1302</v>
      </c>
      <c r="L4">
        <v>80</v>
      </c>
      <c r="M4">
        <v>463.058</v>
      </c>
      <c r="N4">
        <v>9</v>
      </c>
      <c r="O4">
        <v>0.001754</v>
      </c>
      <c r="P4">
        <v>12</v>
      </c>
      <c r="Q4">
        <v>465.293</v>
      </c>
      <c r="R4" s="1">
        <v>396.995</v>
      </c>
      <c r="T4">
        <f t="shared" si="0"/>
        <v>0</v>
      </c>
      <c r="U4" s="1">
        <f t="shared" si="1"/>
        <v>1</v>
      </c>
    </row>
    <row r="5" spans="1:21">
      <c r="A5" t="s">
        <v>20</v>
      </c>
      <c r="B5">
        <v>200</v>
      </c>
      <c r="C5">
        <v>13089</v>
      </c>
      <c r="D5">
        <v>200</v>
      </c>
      <c r="E5">
        <v>13089</v>
      </c>
      <c r="F5">
        <v>0.00024</v>
      </c>
      <c r="G5">
        <v>13089</v>
      </c>
      <c r="H5">
        <v>0.169315</v>
      </c>
      <c r="I5">
        <v>13089</v>
      </c>
      <c r="J5">
        <v>3.14712</v>
      </c>
      <c r="K5">
        <v>1871</v>
      </c>
      <c r="L5">
        <v>19</v>
      </c>
      <c r="M5">
        <v>16.4604</v>
      </c>
      <c r="N5">
        <v>9</v>
      </c>
      <c r="O5">
        <v>0.002697</v>
      </c>
      <c r="P5">
        <v>14</v>
      </c>
      <c r="Q5">
        <v>21.8709</v>
      </c>
      <c r="R5" s="1">
        <v>21.2767</v>
      </c>
      <c r="T5">
        <f t="shared" si="0"/>
        <v>0</v>
      </c>
      <c r="U5" s="1">
        <f t="shared" si="1"/>
        <v>1</v>
      </c>
    </row>
    <row r="6" spans="1:21">
      <c r="A6" t="s">
        <v>21</v>
      </c>
      <c r="B6">
        <v>200</v>
      </c>
      <c r="C6">
        <v>1534</v>
      </c>
      <c r="D6">
        <v>200</v>
      </c>
      <c r="E6">
        <v>1534</v>
      </c>
      <c r="F6" s="3" t="s">
        <v>46</v>
      </c>
      <c r="G6">
        <v>839</v>
      </c>
      <c r="H6">
        <v>0.000965</v>
      </c>
      <c r="I6">
        <v>825</v>
      </c>
      <c r="J6">
        <v>0.095946</v>
      </c>
      <c r="K6">
        <v>722</v>
      </c>
      <c r="L6">
        <v>0</v>
      </c>
      <c r="M6">
        <v>0.024989</v>
      </c>
      <c r="N6">
        <v>10</v>
      </c>
      <c r="O6" s="3" t="s">
        <v>43</v>
      </c>
      <c r="P6">
        <v>10</v>
      </c>
      <c r="Q6">
        <v>0.155351</v>
      </c>
      <c r="R6" s="1">
        <v>0.140999</v>
      </c>
      <c r="T6">
        <f t="shared" si="0"/>
        <v>0</v>
      </c>
      <c r="U6" s="1">
        <f t="shared" si="1"/>
        <v>1</v>
      </c>
    </row>
    <row r="7" spans="1:21">
      <c r="A7" t="s">
        <v>24</v>
      </c>
      <c r="B7">
        <v>200</v>
      </c>
      <c r="C7">
        <v>3235</v>
      </c>
      <c r="D7">
        <v>200</v>
      </c>
      <c r="E7">
        <v>3235</v>
      </c>
      <c r="F7" s="3" t="s">
        <v>25</v>
      </c>
      <c r="G7">
        <v>3235</v>
      </c>
      <c r="H7">
        <v>0.007592</v>
      </c>
      <c r="I7">
        <v>3235</v>
      </c>
      <c r="J7">
        <v>0.328487</v>
      </c>
      <c r="K7">
        <v>1289</v>
      </c>
      <c r="L7">
        <v>61</v>
      </c>
      <c r="M7">
        <v>3.12664</v>
      </c>
      <c r="N7">
        <v>19</v>
      </c>
      <c r="O7">
        <v>0.000282</v>
      </c>
      <c r="P7">
        <v>19</v>
      </c>
      <c r="Q7">
        <v>3.51001</v>
      </c>
      <c r="R7" s="1">
        <v>2.23146</v>
      </c>
      <c r="T7">
        <f t="shared" si="0"/>
        <v>0</v>
      </c>
      <c r="U7" s="1">
        <f t="shared" si="1"/>
        <v>1</v>
      </c>
    </row>
    <row r="8" spans="1:21">
      <c r="A8" t="s">
        <v>27</v>
      </c>
      <c r="B8">
        <v>200</v>
      </c>
      <c r="C8">
        <v>8473</v>
      </c>
      <c r="D8">
        <v>200</v>
      </c>
      <c r="E8">
        <v>8473</v>
      </c>
      <c r="F8" s="3" t="s">
        <v>38</v>
      </c>
      <c r="G8">
        <v>8473</v>
      </c>
      <c r="H8">
        <v>0.059175</v>
      </c>
      <c r="I8">
        <v>8473</v>
      </c>
      <c r="J8">
        <v>7.02058</v>
      </c>
      <c r="K8">
        <v>1988</v>
      </c>
      <c r="L8">
        <v>56</v>
      </c>
      <c r="M8">
        <v>11.8939</v>
      </c>
      <c r="N8">
        <v>48</v>
      </c>
      <c r="O8">
        <v>0.001155</v>
      </c>
      <c r="P8">
        <v>49</v>
      </c>
      <c r="Q8">
        <v>19.1638</v>
      </c>
      <c r="R8" s="1">
        <v>20.8831</v>
      </c>
      <c r="T8">
        <f t="shared" si="0"/>
        <v>1</v>
      </c>
      <c r="U8" s="1">
        <f t="shared" si="1"/>
        <v>0</v>
      </c>
    </row>
    <row r="9" spans="1:21">
      <c r="A9" t="s">
        <v>29</v>
      </c>
      <c r="B9">
        <v>200</v>
      </c>
      <c r="C9">
        <v>17910</v>
      </c>
      <c r="D9">
        <v>200</v>
      </c>
      <c r="E9">
        <v>17910</v>
      </c>
      <c r="F9">
        <v>0.000346</v>
      </c>
      <c r="G9">
        <v>17910</v>
      </c>
      <c r="H9">
        <v>0.299699</v>
      </c>
      <c r="I9">
        <v>17910</v>
      </c>
      <c r="J9">
        <v>18.0572</v>
      </c>
      <c r="K9">
        <v>2680</v>
      </c>
      <c r="L9">
        <v>0</v>
      </c>
      <c r="M9">
        <v>-1</v>
      </c>
      <c r="N9">
        <v>24</v>
      </c>
      <c r="O9">
        <v>0.006099</v>
      </c>
      <c r="P9">
        <v>24</v>
      </c>
      <c r="Q9">
        <v>600</v>
      </c>
      <c r="R9" s="1">
        <v>600</v>
      </c>
      <c r="T9">
        <f t="shared" si="0"/>
        <v>0</v>
      </c>
      <c r="U9" s="1">
        <f t="shared" si="1"/>
        <v>0</v>
      </c>
    </row>
    <row r="10" spans="1:21">
      <c r="A10" t="s">
        <v>30</v>
      </c>
      <c r="B10">
        <v>200</v>
      </c>
      <c r="C10">
        <v>17910</v>
      </c>
      <c r="D10">
        <v>200</v>
      </c>
      <c r="E10">
        <v>17910</v>
      </c>
      <c r="F10">
        <v>0.00023</v>
      </c>
      <c r="G10">
        <v>17910</v>
      </c>
      <c r="H10">
        <v>0.245502</v>
      </c>
      <c r="I10">
        <v>17910</v>
      </c>
      <c r="J10">
        <v>12.529</v>
      </c>
      <c r="K10">
        <v>3064</v>
      </c>
      <c r="L10">
        <v>0</v>
      </c>
      <c r="M10">
        <v>-1</v>
      </c>
      <c r="N10">
        <v>25</v>
      </c>
      <c r="O10">
        <v>0.004162</v>
      </c>
      <c r="P10">
        <v>25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31</v>
      </c>
      <c r="B11">
        <v>200</v>
      </c>
      <c r="C11">
        <v>13930</v>
      </c>
      <c r="D11">
        <v>200</v>
      </c>
      <c r="E11">
        <v>13930</v>
      </c>
      <c r="F11">
        <v>0.000186</v>
      </c>
      <c r="G11">
        <v>13930</v>
      </c>
      <c r="H11">
        <v>0.113832</v>
      </c>
      <c r="I11">
        <v>13930</v>
      </c>
      <c r="J11">
        <v>2.20624</v>
      </c>
      <c r="K11">
        <v>1297</v>
      </c>
      <c r="L11">
        <v>59</v>
      </c>
      <c r="M11">
        <v>26.4424</v>
      </c>
      <c r="N11">
        <v>14</v>
      </c>
      <c r="O11">
        <v>0.002812</v>
      </c>
      <c r="P11">
        <v>17</v>
      </c>
      <c r="Q11">
        <v>29.9856</v>
      </c>
      <c r="R11" s="1">
        <v>30.5993</v>
      </c>
      <c r="T11">
        <f t="shared" si="0"/>
        <v>1</v>
      </c>
      <c r="U11" s="1">
        <f t="shared" si="1"/>
        <v>0</v>
      </c>
    </row>
    <row r="12" spans="1:21">
      <c r="A12" t="s">
        <v>32</v>
      </c>
      <c r="B12">
        <v>200</v>
      </c>
      <c r="C12">
        <v>13930</v>
      </c>
      <c r="D12">
        <v>200</v>
      </c>
      <c r="E12">
        <v>13930</v>
      </c>
      <c r="F12">
        <v>0.000155</v>
      </c>
      <c r="G12">
        <v>13930</v>
      </c>
      <c r="H12">
        <v>0.090719</v>
      </c>
      <c r="I12">
        <v>13930</v>
      </c>
      <c r="J12">
        <v>2.27033</v>
      </c>
      <c r="K12">
        <v>2479</v>
      </c>
      <c r="L12">
        <v>320</v>
      </c>
      <c r="M12">
        <v>165.129</v>
      </c>
      <c r="N12">
        <v>10</v>
      </c>
      <c r="O12">
        <v>0.002898</v>
      </c>
      <c r="P12">
        <v>14</v>
      </c>
      <c r="Q12">
        <v>167.939</v>
      </c>
      <c r="R12" s="1">
        <v>306.655</v>
      </c>
      <c r="T12">
        <f t="shared" si="0"/>
        <v>1</v>
      </c>
      <c r="U12" s="1">
        <f t="shared" si="1"/>
        <v>0</v>
      </c>
    </row>
    <row r="13" spans="1:21">
      <c r="A13" t="s">
        <v>33</v>
      </c>
      <c r="B13">
        <v>200</v>
      </c>
      <c r="C13">
        <v>17910</v>
      </c>
      <c r="D13">
        <v>200</v>
      </c>
      <c r="E13">
        <v>17910</v>
      </c>
      <c r="F13">
        <v>0.0002</v>
      </c>
      <c r="G13">
        <v>17910</v>
      </c>
      <c r="H13">
        <v>0.242684</v>
      </c>
      <c r="I13">
        <v>17910</v>
      </c>
      <c r="J13">
        <v>6.25934</v>
      </c>
      <c r="K13">
        <v>4001</v>
      </c>
      <c r="L13">
        <v>0</v>
      </c>
      <c r="M13">
        <v>-1</v>
      </c>
      <c r="N13">
        <v>35</v>
      </c>
      <c r="O13">
        <v>0.004223</v>
      </c>
      <c r="P13">
        <v>35</v>
      </c>
      <c r="Q13">
        <v>600</v>
      </c>
      <c r="R13" s="1">
        <v>600</v>
      </c>
      <c r="T13">
        <f t="shared" si="0"/>
        <v>0</v>
      </c>
      <c r="U13" s="1">
        <f t="shared" si="1"/>
        <v>0</v>
      </c>
    </row>
    <row r="14" spans="1:21">
      <c r="A14" t="s">
        <v>34</v>
      </c>
      <c r="B14">
        <v>200</v>
      </c>
      <c r="C14">
        <v>17910</v>
      </c>
      <c r="D14">
        <v>200</v>
      </c>
      <c r="E14">
        <v>17910</v>
      </c>
      <c r="F14">
        <v>0.000206</v>
      </c>
      <c r="G14">
        <v>17910</v>
      </c>
      <c r="H14">
        <v>0.229374</v>
      </c>
      <c r="I14">
        <v>17910</v>
      </c>
      <c r="J14">
        <v>11.8859</v>
      </c>
      <c r="K14">
        <v>1570</v>
      </c>
      <c r="L14">
        <v>0</v>
      </c>
      <c r="M14">
        <v>-1</v>
      </c>
      <c r="N14">
        <v>31</v>
      </c>
      <c r="O14">
        <v>0.003833</v>
      </c>
      <c r="P14">
        <v>31</v>
      </c>
      <c r="Q14">
        <v>600</v>
      </c>
      <c r="R14" s="1">
        <v>600</v>
      </c>
      <c r="T14">
        <f t="shared" si="0"/>
        <v>0</v>
      </c>
      <c r="U14" s="1">
        <f t="shared" si="1"/>
        <v>0</v>
      </c>
    </row>
    <row r="15" spans="1:21">
      <c r="A15" t="s">
        <v>35</v>
      </c>
      <c r="B15">
        <v>200</v>
      </c>
      <c r="C15">
        <v>17910</v>
      </c>
      <c r="D15">
        <v>200</v>
      </c>
      <c r="E15">
        <v>17910</v>
      </c>
      <c r="F15">
        <v>0.000384</v>
      </c>
      <c r="G15">
        <v>17910</v>
      </c>
      <c r="H15">
        <v>0.206295</v>
      </c>
      <c r="I15">
        <v>17910</v>
      </c>
      <c r="J15">
        <v>28.1311</v>
      </c>
      <c r="K15">
        <v>2583</v>
      </c>
      <c r="L15">
        <v>0</v>
      </c>
      <c r="M15">
        <v>-1</v>
      </c>
      <c r="N15">
        <v>24</v>
      </c>
      <c r="O15">
        <v>0.006046</v>
      </c>
      <c r="P15">
        <v>24</v>
      </c>
      <c r="Q15">
        <v>600</v>
      </c>
      <c r="R15" s="1">
        <v>600</v>
      </c>
      <c r="T15">
        <f t="shared" si="0"/>
        <v>0</v>
      </c>
      <c r="U15" s="1">
        <f t="shared" si="1"/>
        <v>0</v>
      </c>
    </row>
    <row r="16" spans="1:21">
      <c r="A16" t="s">
        <v>36</v>
      </c>
      <c r="B16">
        <v>200</v>
      </c>
      <c r="C16">
        <v>13868</v>
      </c>
      <c r="D16">
        <v>200</v>
      </c>
      <c r="E16">
        <v>13868</v>
      </c>
      <c r="F16">
        <v>0.000206</v>
      </c>
      <c r="G16">
        <v>13868</v>
      </c>
      <c r="H16">
        <v>0.137757</v>
      </c>
      <c r="I16">
        <v>13868</v>
      </c>
      <c r="J16">
        <v>4.35869</v>
      </c>
      <c r="K16">
        <v>1878</v>
      </c>
      <c r="L16">
        <v>24</v>
      </c>
      <c r="M16">
        <v>24.1862</v>
      </c>
      <c r="N16">
        <v>11</v>
      </c>
      <c r="O16">
        <v>0.002361</v>
      </c>
      <c r="P16">
        <v>16</v>
      </c>
      <c r="Q16">
        <v>31.7401</v>
      </c>
      <c r="R16" s="1">
        <v>31.3964</v>
      </c>
      <c r="T16">
        <f t="shared" si="0"/>
        <v>0</v>
      </c>
      <c r="U16" s="1">
        <f t="shared" si="1"/>
        <v>1</v>
      </c>
    </row>
    <row r="17" spans="1:21">
      <c r="A17" t="s">
        <v>37</v>
      </c>
      <c r="B17">
        <v>200</v>
      </c>
      <c r="C17">
        <v>17863</v>
      </c>
      <c r="D17">
        <v>200</v>
      </c>
      <c r="E17">
        <v>17863</v>
      </c>
      <c r="F17">
        <v>0.00027</v>
      </c>
      <c r="G17">
        <v>17863</v>
      </c>
      <c r="H17">
        <v>0.272249</v>
      </c>
      <c r="I17">
        <v>17863</v>
      </c>
      <c r="J17">
        <v>61.9123</v>
      </c>
      <c r="K17">
        <v>2604</v>
      </c>
      <c r="L17">
        <v>0</v>
      </c>
      <c r="M17">
        <v>-1</v>
      </c>
      <c r="N17">
        <v>25</v>
      </c>
      <c r="O17">
        <v>0.004071</v>
      </c>
      <c r="P17">
        <v>25</v>
      </c>
      <c r="Q17">
        <v>600</v>
      </c>
      <c r="R17" s="1">
        <v>600</v>
      </c>
      <c r="T17">
        <f t="shared" si="0"/>
        <v>0</v>
      </c>
      <c r="U17" s="1">
        <f t="shared" si="1"/>
        <v>0</v>
      </c>
    </row>
    <row r="18" spans="1:21">
      <c r="T18">
        <f>COUNTIF(T2:T17,"=1")</f>
        <v>3</v>
      </c>
      <c r="U18">
        <f>COUNTIF(U2:U17,"=1")</f>
        <v>6</v>
      </c>
    </row>
  </sheetData>
  <sortState ref="A2:Q17">
    <sortCondition ref="A2"/>
  </sortState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"/>
  <sheetViews>
    <sheetView topLeftCell="L1" workbookViewId="0">
      <selection activeCell="R1" sqref="R$1:R$1048576"/>
    </sheetView>
  </sheetViews>
  <sheetFormatPr defaultColWidth="8.72727272727273" defaultRowHeight="14"/>
  <cols>
    <col min="1" max="1" width="26.3636363636364" customWidth="1"/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18" max="18" width="9.54545454545454" style="1"/>
    <col min="20" max="21" width="9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T1" s="2"/>
      <c r="U1" s="2"/>
    </row>
    <row r="2" spans="1:21">
      <c r="A2" t="s">
        <v>47</v>
      </c>
      <c r="B2">
        <v>453</v>
      </c>
      <c r="C2">
        <v>2025</v>
      </c>
      <c r="D2">
        <v>68</v>
      </c>
      <c r="E2">
        <v>491</v>
      </c>
      <c r="F2">
        <v>0.000109</v>
      </c>
      <c r="G2">
        <v>136</v>
      </c>
      <c r="H2">
        <v>0.00045</v>
      </c>
      <c r="I2">
        <v>101</v>
      </c>
      <c r="J2">
        <v>0.029037</v>
      </c>
      <c r="K2">
        <v>81</v>
      </c>
      <c r="L2">
        <v>0</v>
      </c>
      <c r="M2">
        <v>0.011262</v>
      </c>
      <c r="N2">
        <v>8</v>
      </c>
      <c r="O2">
        <v>0.000124</v>
      </c>
      <c r="P2">
        <v>8</v>
      </c>
      <c r="Q2">
        <v>0.058978</v>
      </c>
      <c r="R2" s="1">
        <v>0.066865</v>
      </c>
      <c r="T2">
        <f t="shared" ref="T2:T17" si="0">IF(Q2&lt;R2,1,0)</f>
        <v>1</v>
      </c>
      <c r="U2" s="1">
        <f t="shared" ref="U2:U17" si="1">IF(R2&lt;Q2,1,0)</f>
        <v>0</v>
      </c>
    </row>
    <row r="3" spans="1:21">
      <c r="A3" t="s">
        <v>48</v>
      </c>
      <c r="B3">
        <v>516</v>
      </c>
      <c r="C3">
        <v>1188</v>
      </c>
      <c r="D3">
        <v>11</v>
      </c>
      <c r="E3">
        <v>55</v>
      </c>
      <c r="F3" s="3" t="s">
        <v>49</v>
      </c>
      <c r="G3">
        <v>55</v>
      </c>
      <c r="H3" s="3" t="s">
        <v>50</v>
      </c>
      <c r="I3">
        <v>55</v>
      </c>
      <c r="J3" s="3" t="s">
        <v>51</v>
      </c>
      <c r="K3">
        <v>1</v>
      </c>
      <c r="L3">
        <v>0</v>
      </c>
      <c r="M3">
        <v>0.005503</v>
      </c>
      <c r="N3">
        <v>10</v>
      </c>
      <c r="O3" s="3" t="s">
        <v>52</v>
      </c>
      <c r="P3">
        <v>10</v>
      </c>
      <c r="Q3">
        <v>0.017037</v>
      </c>
      <c r="R3" s="1">
        <v>0.016138</v>
      </c>
      <c r="T3">
        <f t="shared" si="0"/>
        <v>0</v>
      </c>
      <c r="U3" s="1">
        <f t="shared" si="1"/>
        <v>1</v>
      </c>
    </row>
    <row r="4" spans="1:21">
      <c r="A4" t="s">
        <v>53</v>
      </c>
      <c r="B4">
        <v>7393</v>
      </c>
      <c r="C4">
        <v>25569</v>
      </c>
      <c r="D4">
        <v>2443</v>
      </c>
      <c r="E4">
        <v>16089</v>
      </c>
      <c r="F4">
        <v>0.003279</v>
      </c>
      <c r="G4">
        <v>271</v>
      </c>
      <c r="H4">
        <v>0.010663</v>
      </c>
      <c r="I4">
        <v>41</v>
      </c>
      <c r="J4">
        <v>0.020446</v>
      </c>
      <c r="K4">
        <v>45</v>
      </c>
      <c r="L4">
        <v>1</v>
      </c>
      <c r="M4">
        <v>0.007674</v>
      </c>
      <c r="N4">
        <v>5</v>
      </c>
      <c r="O4">
        <v>0.002379</v>
      </c>
      <c r="P4">
        <v>5</v>
      </c>
      <c r="Q4">
        <v>0.081164</v>
      </c>
      <c r="R4" s="1">
        <v>0.084518</v>
      </c>
      <c r="T4">
        <f t="shared" si="0"/>
        <v>1</v>
      </c>
      <c r="U4" s="1">
        <f t="shared" si="1"/>
        <v>0</v>
      </c>
    </row>
    <row r="5" spans="1:21">
      <c r="A5" t="s">
        <v>54</v>
      </c>
      <c r="B5">
        <v>1458</v>
      </c>
      <c r="C5">
        <v>1948</v>
      </c>
      <c r="D5">
        <v>6</v>
      </c>
      <c r="E5">
        <v>15</v>
      </c>
      <c r="F5" s="3" t="s">
        <v>55</v>
      </c>
      <c r="G5">
        <v>15</v>
      </c>
      <c r="H5" s="3" t="s">
        <v>56</v>
      </c>
      <c r="I5">
        <v>15</v>
      </c>
      <c r="J5" s="3" t="s">
        <v>57</v>
      </c>
      <c r="K5">
        <v>1</v>
      </c>
      <c r="L5">
        <v>0</v>
      </c>
      <c r="M5">
        <v>0.00939</v>
      </c>
      <c r="N5">
        <v>5</v>
      </c>
      <c r="O5">
        <v>0.000138</v>
      </c>
      <c r="P5">
        <v>5</v>
      </c>
      <c r="Q5">
        <v>0.015238</v>
      </c>
      <c r="R5" s="1">
        <v>0.013703</v>
      </c>
      <c r="T5">
        <f t="shared" si="0"/>
        <v>0</v>
      </c>
      <c r="U5" s="1">
        <f t="shared" si="1"/>
        <v>1</v>
      </c>
    </row>
    <row r="6" spans="1:21">
      <c r="A6" t="s">
        <v>58</v>
      </c>
      <c r="B6">
        <v>17903</v>
      </c>
      <c r="C6">
        <v>196972</v>
      </c>
      <c r="D6">
        <v>316</v>
      </c>
      <c r="E6">
        <v>8755</v>
      </c>
      <c r="F6">
        <v>0.004001</v>
      </c>
      <c r="G6">
        <v>8445</v>
      </c>
      <c r="H6">
        <v>0.031524</v>
      </c>
      <c r="I6">
        <v>8445</v>
      </c>
      <c r="J6">
        <v>1.49047</v>
      </c>
      <c r="K6">
        <v>1902</v>
      </c>
      <c r="L6">
        <v>22</v>
      </c>
      <c r="M6">
        <v>3.76805</v>
      </c>
      <c r="N6">
        <v>48</v>
      </c>
      <c r="O6">
        <v>0.025025</v>
      </c>
      <c r="P6">
        <v>50</v>
      </c>
      <c r="Q6">
        <v>5.51004</v>
      </c>
      <c r="R6" s="1">
        <v>116.221</v>
      </c>
      <c r="T6">
        <f t="shared" si="0"/>
        <v>1</v>
      </c>
      <c r="U6" s="1">
        <f t="shared" si="1"/>
        <v>0</v>
      </c>
    </row>
    <row r="7" spans="1:21">
      <c r="A7" t="s">
        <v>59</v>
      </c>
      <c r="B7">
        <v>227320</v>
      </c>
      <c r="C7">
        <v>814134</v>
      </c>
      <c r="D7">
        <v>597</v>
      </c>
      <c r="E7">
        <v>20250</v>
      </c>
      <c r="F7">
        <v>0.014976</v>
      </c>
      <c r="G7">
        <v>19906</v>
      </c>
      <c r="H7">
        <v>0.088732</v>
      </c>
      <c r="I7">
        <v>19906</v>
      </c>
      <c r="J7">
        <v>3.01819</v>
      </c>
      <c r="K7">
        <v>1322</v>
      </c>
      <c r="L7">
        <v>0</v>
      </c>
      <c r="M7">
        <v>-1</v>
      </c>
      <c r="N7">
        <v>55</v>
      </c>
      <c r="O7">
        <v>0.111452</v>
      </c>
      <c r="P7">
        <v>55</v>
      </c>
      <c r="Q7">
        <v>600</v>
      </c>
      <c r="R7" s="1">
        <v>600</v>
      </c>
      <c r="T7">
        <f t="shared" si="0"/>
        <v>0</v>
      </c>
      <c r="U7" s="1">
        <f t="shared" si="1"/>
        <v>0</v>
      </c>
    </row>
    <row r="8" spans="1:21">
      <c r="A8" t="s">
        <v>60</v>
      </c>
      <c r="B8">
        <v>21363</v>
      </c>
      <c r="C8">
        <v>91286</v>
      </c>
      <c r="D8">
        <v>133</v>
      </c>
      <c r="E8">
        <v>1556</v>
      </c>
      <c r="F8">
        <v>0.002484</v>
      </c>
      <c r="G8">
        <v>1140</v>
      </c>
      <c r="H8">
        <v>0.003634</v>
      </c>
      <c r="I8">
        <v>1140</v>
      </c>
      <c r="J8">
        <v>0.274786</v>
      </c>
      <c r="K8">
        <v>696</v>
      </c>
      <c r="L8">
        <v>4</v>
      </c>
      <c r="M8">
        <v>0.11713</v>
      </c>
      <c r="N8">
        <v>17</v>
      </c>
      <c r="O8">
        <v>0.011529</v>
      </c>
      <c r="P8">
        <v>20</v>
      </c>
      <c r="Q8">
        <v>0.466589</v>
      </c>
      <c r="R8" s="1">
        <v>0.220283</v>
      </c>
      <c r="T8">
        <f t="shared" si="0"/>
        <v>0</v>
      </c>
      <c r="U8" s="1">
        <f t="shared" si="1"/>
        <v>1</v>
      </c>
    </row>
    <row r="9" spans="1:21">
      <c r="A9" t="s">
        <v>61</v>
      </c>
      <c r="B9">
        <v>1882</v>
      </c>
      <c r="C9">
        <v>1740</v>
      </c>
      <c r="D9">
        <v>23</v>
      </c>
      <c r="E9">
        <v>14</v>
      </c>
      <c r="F9" s="3" t="s">
        <v>62</v>
      </c>
      <c r="G9">
        <v>0</v>
      </c>
      <c r="H9" s="3" t="s">
        <v>56</v>
      </c>
      <c r="I9">
        <v>0</v>
      </c>
      <c r="J9">
        <v>0</v>
      </c>
      <c r="K9">
        <v>0</v>
      </c>
      <c r="L9">
        <v>0</v>
      </c>
      <c r="M9">
        <v>0.007043</v>
      </c>
      <c r="N9">
        <v>3</v>
      </c>
      <c r="O9">
        <v>0.000232</v>
      </c>
      <c r="P9">
        <v>3</v>
      </c>
      <c r="Q9">
        <v>0.014453</v>
      </c>
      <c r="R9" s="1">
        <v>0.002919</v>
      </c>
      <c r="T9">
        <f t="shared" si="0"/>
        <v>0</v>
      </c>
      <c r="U9" s="1">
        <f t="shared" si="1"/>
        <v>1</v>
      </c>
    </row>
    <row r="10" spans="1:21">
      <c r="A10" t="s">
        <v>63</v>
      </c>
      <c r="B10">
        <v>226413</v>
      </c>
      <c r="C10">
        <v>716460</v>
      </c>
      <c r="D10">
        <v>401</v>
      </c>
      <c r="E10">
        <v>12147</v>
      </c>
      <c r="F10">
        <v>0.019376</v>
      </c>
      <c r="G10">
        <v>11530</v>
      </c>
      <c r="H10">
        <v>0.085986</v>
      </c>
      <c r="I10">
        <v>11530</v>
      </c>
      <c r="J10">
        <v>5.75273</v>
      </c>
      <c r="K10">
        <v>2916</v>
      </c>
      <c r="L10">
        <v>304</v>
      </c>
      <c r="M10">
        <v>-1</v>
      </c>
      <c r="N10">
        <v>46</v>
      </c>
      <c r="O10">
        <v>0.136949</v>
      </c>
      <c r="P10">
        <v>46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64</v>
      </c>
      <c r="B11">
        <v>5094</v>
      </c>
      <c r="C11">
        <v>7515</v>
      </c>
      <c r="D11">
        <v>77</v>
      </c>
      <c r="E11">
        <v>356</v>
      </c>
      <c r="F11">
        <v>0.00027</v>
      </c>
      <c r="G11">
        <v>60</v>
      </c>
      <c r="H11">
        <v>0.000321</v>
      </c>
      <c r="I11">
        <v>46</v>
      </c>
      <c r="J11">
        <v>0.016893</v>
      </c>
      <c r="K11">
        <v>94</v>
      </c>
      <c r="L11">
        <v>0</v>
      </c>
      <c r="M11">
        <v>0.006743</v>
      </c>
      <c r="N11">
        <v>6</v>
      </c>
      <c r="O11">
        <v>0.000814</v>
      </c>
      <c r="P11">
        <v>7</v>
      </c>
      <c r="Q11">
        <v>0.069579</v>
      </c>
      <c r="R11" s="1">
        <v>0.023778</v>
      </c>
      <c r="T11">
        <f t="shared" si="0"/>
        <v>0</v>
      </c>
      <c r="U11" s="1">
        <f t="shared" si="1"/>
        <v>1</v>
      </c>
    </row>
    <row r="12" spans="1:21">
      <c r="A12" t="s">
        <v>65</v>
      </c>
      <c r="B12">
        <v>4158</v>
      </c>
      <c r="C12">
        <v>13422</v>
      </c>
      <c r="D12">
        <v>46</v>
      </c>
      <c r="E12">
        <v>1030</v>
      </c>
      <c r="F12">
        <v>0.000376</v>
      </c>
      <c r="G12">
        <v>1030</v>
      </c>
      <c r="H12">
        <v>0.00443</v>
      </c>
      <c r="I12">
        <v>1030</v>
      </c>
      <c r="J12">
        <v>0.003358</v>
      </c>
      <c r="K12">
        <v>48</v>
      </c>
      <c r="L12">
        <v>0</v>
      </c>
      <c r="M12">
        <v>0.024884</v>
      </c>
      <c r="N12">
        <v>42</v>
      </c>
      <c r="O12">
        <v>0.001584</v>
      </c>
      <c r="P12">
        <v>42</v>
      </c>
      <c r="Q12">
        <v>0.053014</v>
      </c>
      <c r="R12" s="1">
        <v>0.028119</v>
      </c>
      <c r="T12">
        <f t="shared" si="0"/>
        <v>0</v>
      </c>
      <c r="U12" s="1">
        <f t="shared" si="1"/>
        <v>1</v>
      </c>
    </row>
    <row r="13" spans="1:21">
      <c r="A13" t="s">
        <v>66</v>
      </c>
      <c r="B13">
        <v>11204</v>
      </c>
      <c r="C13">
        <v>117619</v>
      </c>
      <c r="D13">
        <v>239</v>
      </c>
      <c r="E13">
        <v>28441</v>
      </c>
      <c r="F13">
        <v>0.006035</v>
      </c>
      <c r="G13">
        <v>28441</v>
      </c>
      <c r="H13">
        <v>0.902782</v>
      </c>
      <c r="I13">
        <v>28441</v>
      </c>
      <c r="J13">
        <v>0.000996</v>
      </c>
      <c r="K13">
        <v>20</v>
      </c>
      <c r="L13">
        <v>8</v>
      </c>
      <c r="M13">
        <v>29.4651</v>
      </c>
      <c r="N13">
        <v>227</v>
      </c>
      <c r="O13">
        <v>0.042312</v>
      </c>
      <c r="P13">
        <v>227</v>
      </c>
      <c r="Q13">
        <v>39.4468</v>
      </c>
      <c r="R13" s="1">
        <v>15.6921</v>
      </c>
      <c r="T13">
        <f t="shared" si="0"/>
        <v>0</v>
      </c>
      <c r="U13" s="1">
        <f t="shared" si="1"/>
        <v>1</v>
      </c>
    </row>
    <row r="14" spans="1:21">
      <c r="A14" t="s">
        <v>67</v>
      </c>
      <c r="B14">
        <v>332689</v>
      </c>
      <c r="C14">
        <v>820644</v>
      </c>
      <c r="D14">
        <v>553</v>
      </c>
      <c r="E14">
        <v>5339</v>
      </c>
      <c r="F14">
        <v>0.02814</v>
      </c>
      <c r="G14">
        <v>4267</v>
      </c>
      <c r="H14">
        <v>0.007175</v>
      </c>
      <c r="I14">
        <v>4264</v>
      </c>
      <c r="J14">
        <v>0.25762</v>
      </c>
      <c r="K14">
        <v>1430</v>
      </c>
      <c r="L14">
        <v>86</v>
      </c>
      <c r="M14">
        <v>7.21819</v>
      </c>
      <c r="N14">
        <v>15</v>
      </c>
      <c r="O14">
        <v>0.210978</v>
      </c>
      <c r="P14">
        <v>16</v>
      </c>
      <c r="Q14">
        <v>8.7504</v>
      </c>
      <c r="R14" s="1">
        <v>5.22499</v>
      </c>
      <c r="T14">
        <f t="shared" si="0"/>
        <v>0</v>
      </c>
      <c r="U14" s="1">
        <f t="shared" si="1"/>
        <v>1</v>
      </c>
    </row>
    <row r="15" spans="1:21">
      <c r="A15" t="s">
        <v>68</v>
      </c>
      <c r="B15">
        <v>379</v>
      </c>
      <c r="C15">
        <v>914</v>
      </c>
      <c r="D15">
        <v>9</v>
      </c>
      <c r="E15">
        <v>36</v>
      </c>
      <c r="F15" s="3" t="s">
        <v>50</v>
      </c>
      <c r="G15">
        <v>36</v>
      </c>
      <c r="H15" s="3" t="s">
        <v>25</v>
      </c>
      <c r="I15">
        <v>36</v>
      </c>
      <c r="J15" s="3" t="s">
        <v>69</v>
      </c>
      <c r="K15">
        <v>1</v>
      </c>
      <c r="L15">
        <v>0</v>
      </c>
      <c r="M15">
        <v>0.00927</v>
      </c>
      <c r="N15">
        <v>8</v>
      </c>
      <c r="O15">
        <v>0.000108</v>
      </c>
      <c r="P15">
        <v>8</v>
      </c>
      <c r="Q15">
        <v>0.039429</v>
      </c>
      <c r="R15" s="1">
        <v>0.015393</v>
      </c>
      <c r="T15">
        <f t="shared" si="0"/>
        <v>0</v>
      </c>
      <c r="U15" s="1">
        <f t="shared" si="1"/>
        <v>1</v>
      </c>
    </row>
    <row r="16" spans="1:21">
      <c r="A16" t="s">
        <v>70</v>
      </c>
      <c r="B16">
        <v>32430</v>
      </c>
      <c r="C16">
        <v>54397</v>
      </c>
      <c r="D16">
        <v>804</v>
      </c>
      <c r="E16">
        <v>11528</v>
      </c>
      <c r="F16">
        <v>0.00242</v>
      </c>
      <c r="G16">
        <v>4237</v>
      </c>
      <c r="H16">
        <v>0.02043</v>
      </c>
      <c r="I16">
        <v>3732</v>
      </c>
      <c r="J16">
        <v>0.2027</v>
      </c>
      <c r="K16">
        <v>200</v>
      </c>
      <c r="L16">
        <v>2</v>
      </c>
      <c r="M16">
        <v>0.160033</v>
      </c>
      <c r="N16">
        <v>9</v>
      </c>
      <c r="O16">
        <v>0.002944</v>
      </c>
      <c r="P16">
        <v>10</v>
      </c>
      <c r="Q16">
        <v>0.474884</v>
      </c>
      <c r="R16" s="1">
        <v>0.386047</v>
      </c>
      <c r="T16">
        <f t="shared" si="0"/>
        <v>0</v>
      </c>
      <c r="U16" s="1">
        <f t="shared" si="1"/>
        <v>1</v>
      </c>
    </row>
    <row r="17" spans="1:21">
      <c r="A17" t="s">
        <v>71</v>
      </c>
      <c r="B17">
        <v>1133</v>
      </c>
      <c r="C17">
        <v>5451</v>
      </c>
      <c r="D17">
        <v>468</v>
      </c>
      <c r="E17">
        <v>3420</v>
      </c>
      <c r="F17">
        <v>0.000541</v>
      </c>
      <c r="G17">
        <v>445</v>
      </c>
      <c r="H17">
        <v>0.002709</v>
      </c>
      <c r="I17">
        <v>166</v>
      </c>
      <c r="J17">
        <v>0.056401</v>
      </c>
      <c r="K17">
        <v>501</v>
      </c>
      <c r="L17">
        <v>0</v>
      </c>
      <c r="M17">
        <v>0.011045</v>
      </c>
      <c r="N17">
        <v>7</v>
      </c>
      <c r="O17">
        <v>0.000404</v>
      </c>
      <c r="P17">
        <v>11</v>
      </c>
      <c r="Q17">
        <v>0.079945</v>
      </c>
      <c r="R17" s="1">
        <v>0.067861</v>
      </c>
      <c r="T17">
        <f t="shared" si="0"/>
        <v>0</v>
      </c>
      <c r="U17" s="1">
        <f t="shared" si="1"/>
        <v>1</v>
      </c>
    </row>
    <row r="18" spans="1:21">
      <c r="A18" t="s">
        <v>72</v>
      </c>
      <c r="B18">
        <v>33696</v>
      </c>
      <c r="C18">
        <v>180811</v>
      </c>
      <c r="D18">
        <v>3347</v>
      </c>
      <c r="E18">
        <v>85425</v>
      </c>
      <c r="F18">
        <v>0.022541</v>
      </c>
      <c r="G18">
        <v>40782</v>
      </c>
      <c r="H18">
        <v>0.354578</v>
      </c>
      <c r="I18">
        <v>40310</v>
      </c>
      <c r="J18">
        <v>0.338411</v>
      </c>
      <c r="K18">
        <v>320</v>
      </c>
      <c r="L18">
        <v>23</v>
      </c>
      <c r="M18">
        <v>57.6603</v>
      </c>
      <c r="N18">
        <v>14</v>
      </c>
      <c r="O18">
        <v>0.021687</v>
      </c>
      <c r="P18">
        <v>15</v>
      </c>
      <c r="Q18">
        <v>58.702</v>
      </c>
      <c r="R18" s="1">
        <v>67.4437</v>
      </c>
      <c r="T18">
        <f t="shared" ref="T18:T49" si="2">IF(Q18&lt;R18,1,0)</f>
        <v>1</v>
      </c>
      <c r="U18" s="1">
        <f t="shared" ref="U18:U49" si="3">IF(R18&lt;Q18,1,0)</f>
        <v>0</v>
      </c>
    </row>
    <row r="19" spans="1:21">
      <c r="A19" t="s">
        <v>73</v>
      </c>
      <c r="B19">
        <v>143</v>
      </c>
      <c r="C19">
        <v>623</v>
      </c>
      <c r="D19">
        <v>80</v>
      </c>
      <c r="E19">
        <v>442</v>
      </c>
      <c r="F19">
        <v>0.000102</v>
      </c>
      <c r="G19">
        <v>139</v>
      </c>
      <c r="H19">
        <v>0.000588</v>
      </c>
      <c r="I19">
        <v>105</v>
      </c>
      <c r="J19">
        <v>0.099753</v>
      </c>
      <c r="K19">
        <v>144</v>
      </c>
      <c r="L19">
        <v>0</v>
      </c>
      <c r="M19">
        <v>0.040717</v>
      </c>
      <c r="N19">
        <v>6</v>
      </c>
      <c r="O19" s="3" t="s">
        <v>62</v>
      </c>
      <c r="P19">
        <v>7</v>
      </c>
      <c r="Q19">
        <v>0.154807</v>
      </c>
      <c r="R19" s="1">
        <v>0.029839</v>
      </c>
      <c r="T19">
        <f t="shared" si="2"/>
        <v>0</v>
      </c>
      <c r="U19" s="1">
        <f t="shared" si="3"/>
        <v>1</v>
      </c>
    </row>
    <row r="20" spans="1:21">
      <c r="A20" t="s">
        <v>74</v>
      </c>
      <c r="B20">
        <v>1266</v>
      </c>
      <c r="C20">
        <v>6451</v>
      </c>
      <c r="D20">
        <v>761</v>
      </c>
      <c r="E20">
        <v>5580</v>
      </c>
      <c r="F20">
        <v>0.000803</v>
      </c>
      <c r="G20">
        <v>689</v>
      </c>
      <c r="H20">
        <v>0.003928</v>
      </c>
      <c r="I20">
        <v>139</v>
      </c>
      <c r="J20">
        <v>0.034891</v>
      </c>
      <c r="K20">
        <v>102</v>
      </c>
      <c r="L20">
        <v>0</v>
      </c>
      <c r="M20">
        <v>0.006335</v>
      </c>
      <c r="N20">
        <v>4</v>
      </c>
      <c r="O20">
        <v>0.000428</v>
      </c>
      <c r="P20">
        <v>5</v>
      </c>
      <c r="Q20">
        <v>0.055151</v>
      </c>
      <c r="R20" s="1">
        <v>0.041326</v>
      </c>
      <c r="T20">
        <f t="shared" si="2"/>
        <v>0</v>
      </c>
      <c r="U20" s="1">
        <f t="shared" si="3"/>
        <v>1</v>
      </c>
    </row>
    <row r="21" spans="1:21">
      <c r="A21" t="s">
        <v>75</v>
      </c>
      <c r="B21">
        <v>410</v>
      </c>
      <c r="C21">
        <v>2765</v>
      </c>
      <c r="D21">
        <v>32</v>
      </c>
      <c r="E21">
        <v>351</v>
      </c>
      <c r="F21">
        <v>0.000122</v>
      </c>
      <c r="G21">
        <v>120</v>
      </c>
      <c r="H21">
        <v>0.000845</v>
      </c>
      <c r="I21">
        <v>120</v>
      </c>
      <c r="J21">
        <v>0.056321</v>
      </c>
      <c r="K21">
        <v>67</v>
      </c>
      <c r="L21">
        <v>0</v>
      </c>
      <c r="M21">
        <v>0.036715</v>
      </c>
      <c r="N21">
        <v>15</v>
      </c>
      <c r="O21">
        <v>0.000326</v>
      </c>
      <c r="P21">
        <v>15</v>
      </c>
      <c r="Q21">
        <v>0.144468</v>
      </c>
      <c r="R21" s="1">
        <v>0.040596</v>
      </c>
      <c r="T21">
        <f t="shared" si="2"/>
        <v>0</v>
      </c>
      <c r="U21" s="1">
        <f t="shared" si="3"/>
        <v>1</v>
      </c>
    </row>
    <row r="22" spans="1:21">
      <c r="A22" t="s">
        <v>76</v>
      </c>
      <c r="B22">
        <v>113</v>
      </c>
      <c r="C22">
        <v>2196</v>
      </c>
      <c r="D22">
        <v>108</v>
      </c>
      <c r="E22">
        <v>2149</v>
      </c>
      <c r="F22">
        <v>0.000304</v>
      </c>
      <c r="G22">
        <v>1514</v>
      </c>
      <c r="H22">
        <v>0.006328</v>
      </c>
      <c r="I22">
        <v>1285</v>
      </c>
      <c r="J22">
        <v>0.571967</v>
      </c>
      <c r="K22">
        <v>336</v>
      </c>
      <c r="L22">
        <v>0</v>
      </c>
      <c r="M22">
        <v>0.022329</v>
      </c>
      <c r="N22">
        <v>13</v>
      </c>
      <c r="O22">
        <v>0.000214</v>
      </c>
      <c r="P22">
        <v>14</v>
      </c>
      <c r="Q22">
        <v>0.626305</v>
      </c>
      <c r="R22" s="1">
        <v>0.170405</v>
      </c>
      <c r="T22">
        <f t="shared" si="2"/>
        <v>0</v>
      </c>
      <c r="U22" s="1">
        <f t="shared" si="3"/>
        <v>1</v>
      </c>
    </row>
    <row r="23" spans="1:21">
      <c r="A23" t="s">
        <v>77</v>
      </c>
      <c r="B23">
        <v>6809</v>
      </c>
      <c r="C23">
        <v>7680</v>
      </c>
      <c r="D23">
        <v>139</v>
      </c>
      <c r="E23">
        <v>553</v>
      </c>
      <c r="F23">
        <v>0.000273</v>
      </c>
      <c r="G23">
        <v>71</v>
      </c>
      <c r="H23">
        <v>0.000285</v>
      </c>
      <c r="I23">
        <v>26</v>
      </c>
      <c r="J23">
        <v>0.011897</v>
      </c>
      <c r="K23">
        <v>27</v>
      </c>
      <c r="L23">
        <v>0</v>
      </c>
      <c r="M23">
        <v>0.00592</v>
      </c>
      <c r="N23">
        <v>4</v>
      </c>
      <c r="O23">
        <v>0.000625</v>
      </c>
      <c r="P23">
        <v>4</v>
      </c>
      <c r="Q23">
        <v>0.030531</v>
      </c>
      <c r="R23" s="1">
        <v>0.016468</v>
      </c>
      <c r="T23">
        <f t="shared" si="2"/>
        <v>0</v>
      </c>
      <c r="U23" s="1">
        <f t="shared" si="3"/>
        <v>1</v>
      </c>
    </row>
    <row r="24" spans="1:21">
      <c r="A24" t="s">
        <v>78</v>
      </c>
      <c r="B24">
        <v>92117</v>
      </c>
      <c r="C24">
        <v>360767</v>
      </c>
      <c r="D24">
        <v>10677</v>
      </c>
      <c r="E24">
        <v>219674</v>
      </c>
      <c r="F24">
        <v>0.042375</v>
      </c>
      <c r="G24">
        <v>84391</v>
      </c>
      <c r="H24">
        <v>0.819904</v>
      </c>
      <c r="I24">
        <v>83988</v>
      </c>
      <c r="J24">
        <v>0.220184</v>
      </c>
      <c r="K24">
        <v>241</v>
      </c>
      <c r="L24">
        <v>0</v>
      </c>
      <c r="M24">
        <v>-1</v>
      </c>
      <c r="N24">
        <v>8</v>
      </c>
      <c r="O24">
        <v>0.046174</v>
      </c>
      <c r="P24">
        <v>8</v>
      </c>
      <c r="Q24">
        <v>600</v>
      </c>
      <c r="R24" s="1">
        <v>600</v>
      </c>
      <c r="T24">
        <f t="shared" si="2"/>
        <v>0</v>
      </c>
      <c r="U24" s="1">
        <f t="shared" si="3"/>
        <v>0</v>
      </c>
    </row>
    <row r="25" spans="1:21">
      <c r="A25" t="s">
        <v>79</v>
      </c>
      <c r="B25">
        <v>4941</v>
      </c>
      <c r="C25">
        <v>6594</v>
      </c>
      <c r="D25">
        <v>9</v>
      </c>
      <c r="E25">
        <v>22</v>
      </c>
      <c r="F25">
        <v>0.000164</v>
      </c>
      <c r="G25">
        <v>0</v>
      </c>
      <c r="H25" s="3" t="s">
        <v>46</v>
      </c>
      <c r="I25">
        <v>0</v>
      </c>
      <c r="J25" s="3" t="s">
        <v>51</v>
      </c>
      <c r="K25">
        <v>0</v>
      </c>
      <c r="L25">
        <v>0</v>
      </c>
      <c r="M25">
        <v>0.003092</v>
      </c>
      <c r="N25">
        <v>6</v>
      </c>
      <c r="O25">
        <v>0.000475</v>
      </c>
      <c r="P25">
        <v>6</v>
      </c>
      <c r="Q25">
        <v>0.016664</v>
      </c>
      <c r="R25" s="1">
        <v>0.003908</v>
      </c>
      <c r="T25">
        <f t="shared" si="2"/>
        <v>0</v>
      </c>
      <c r="U25" s="1">
        <f t="shared" si="3"/>
        <v>1</v>
      </c>
    </row>
    <row r="26" spans="1:21">
      <c r="A26" t="s">
        <v>80</v>
      </c>
      <c r="B26">
        <v>91813</v>
      </c>
      <c r="C26">
        <v>125704</v>
      </c>
      <c r="D26">
        <v>114</v>
      </c>
      <c r="E26">
        <v>136</v>
      </c>
      <c r="F26">
        <v>0.004962</v>
      </c>
      <c r="G26">
        <v>0</v>
      </c>
      <c r="H26" s="3" t="s">
        <v>81</v>
      </c>
      <c r="I26">
        <v>0</v>
      </c>
      <c r="J26" s="3" t="s">
        <v>57</v>
      </c>
      <c r="K26">
        <v>0</v>
      </c>
      <c r="L26">
        <v>0</v>
      </c>
      <c r="M26">
        <v>0.005762</v>
      </c>
      <c r="N26">
        <v>5</v>
      </c>
      <c r="O26">
        <v>0.018631</v>
      </c>
      <c r="P26">
        <v>5</v>
      </c>
      <c r="Q26">
        <v>0.099468</v>
      </c>
      <c r="R26" s="1">
        <v>0.049535</v>
      </c>
      <c r="T26">
        <f t="shared" si="2"/>
        <v>0</v>
      </c>
      <c r="U26" s="1">
        <f t="shared" si="3"/>
        <v>1</v>
      </c>
    </row>
    <row r="27" spans="1:21">
      <c r="A27" t="s">
        <v>82</v>
      </c>
      <c r="B27">
        <v>96</v>
      </c>
      <c r="C27">
        <v>117</v>
      </c>
      <c r="D27">
        <v>16</v>
      </c>
      <c r="E27">
        <v>26</v>
      </c>
      <c r="F27" s="3" t="s">
        <v>83</v>
      </c>
      <c r="G27">
        <v>6</v>
      </c>
      <c r="H27" s="3" t="s">
        <v>46</v>
      </c>
      <c r="I27">
        <v>6</v>
      </c>
      <c r="J27">
        <v>0.010091</v>
      </c>
      <c r="K27">
        <v>7</v>
      </c>
      <c r="L27">
        <v>0</v>
      </c>
      <c r="M27">
        <v>0.005668</v>
      </c>
      <c r="N27">
        <v>3</v>
      </c>
      <c r="O27" s="3" t="s">
        <v>84</v>
      </c>
      <c r="P27">
        <v>3</v>
      </c>
      <c r="Q27">
        <v>0.030341</v>
      </c>
      <c r="R27" s="1">
        <v>0.018986</v>
      </c>
      <c r="T27">
        <f t="shared" si="2"/>
        <v>0</v>
      </c>
      <c r="U27" s="1">
        <f t="shared" si="3"/>
        <v>1</v>
      </c>
    </row>
    <row r="28" spans="1:21">
      <c r="A28" t="s">
        <v>85</v>
      </c>
      <c r="B28">
        <v>761</v>
      </c>
      <c r="C28">
        <v>1029</v>
      </c>
      <c r="D28">
        <v>51</v>
      </c>
      <c r="E28">
        <v>139</v>
      </c>
      <c r="F28" s="3" t="s">
        <v>86</v>
      </c>
      <c r="G28">
        <v>13</v>
      </c>
      <c r="H28" s="3" t="s">
        <v>87</v>
      </c>
      <c r="I28">
        <v>0</v>
      </c>
      <c r="J28">
        <v>0.000217</v>
      </c>
      <c r="K28">
        <v>0</v>
      </c>
      <c r="L28">
        <v>0</v>
      </c>
      <c r="M28">
        <v>0.010004</v>
      </c>
      <c r="N28">
        <v>4</v>
      </c>
      <c r="O28" s="3" t="s">
        <v>88</v>
      </c>
      <c r="P28">
        <v>4</v>
      </c>
      <c r="Q28">
        <v>0.018988</v>
      </c>
      <c r="R28" s="1">
        <v>0.005845</v>
      </c>
      <c r="T28">
        <f t="shared" si="2"/>
        <v>0</v>
      </c>
      <c r="U28" s="1">
        <f t="shared" si="3"/>
        <v>1</v>
      </c>
    </row>
    <row r="29" spans="1:21">
      <c r="A29" t="s">
        <v>89</v>
      </c>
      <c r="B29">
        <v>146</v>
      </c>
      <c r="C29">
        <v>9828</v>
      </c>
      <c r="D29">
        <v>129</v>
      </c>
      <c r="E29">
        <v>8199</v>
      </c>
      <c r="F29">
        <v>0.001042</v>
      </c>
      <c r="G29">
        <v>7374</v>
      </c>
      <c r="H29">
        <v>0.069169</v>
      </c>
      <c r="I29">
        <v>7370</v>
      </c>
      <c r="J29">
        <v>6.9029</v>
      </c>
      <c r="K29">
        <v>2635</v>
      </c>
      <c r="L29">
        <v>0</v>
      </c>
      <c r="M29">
        <v>1.15686</v>
      </c>
      <c r="N29">
        <v>119</v>
      </c>
      <c r="O29">
        <v>0.002443</v>
      </c>
      <c r="P29">
        <v>119</v>
      </c>
      <c r="Q29">
        <v>8.45567</v>
      </c>
      <c r="R29" s="1">
        <v>6.84181</v>
      </c>
      <c r="T29">
        <f t="shared" si="2"/>
        <v>0</v>
      </c>
      <c r="U29" s="1">
        <f t="shared" si="3"/>
        <v>1</v>
      </c>
    </row>
    <row r="30" spans="1:21">
      <c r="A30" t="s">
        <v>90</v>
      </c>
      <c r="B30">
        <v>488</v>
      </c>
      <c r="C30">
        <v>71011</v>
      </c>
      <c r="D30">
        <v>339</v>
      </c>
      <c r="E30">
        <v>54548</v>
      </c>
      <c r="F30">
        <v>0.011689</v>
      </c>
      <c r="G30">
        <v>-1</v>
      </c>
      <c r="H30">
        <v>2.17685</v>
      </c>
      <c r="I30">
        <v>-1</v>
      </c>
      <c r="J30">
        <v>-1</v>
      </c>
      <c r="K30">
        <v>0</v>
      </c>
      <c r="L30">
        <v>0</v>
      </c>
      <c r="M30">
        <v>-1</v>
      </c>
      <c r="N30">
        <v>257</v>
      </c>
      <c r="O30">
        <v>0.088979</v>
      </c>
      <c r="P30">
        <v>257</v>
      </c>
      <c r="Q30">
        <v>600</v>
      </c>
      <c r="R30" s="1">
        <v>600</v>
      </c>
      <c r="T30">
        <f t="shared" si="2"/>
        <v>0</v>
      </c>
      <c r="U30" s="1">
        <f t="shared" si="3"/>
        <v>0</v>
      </c>
    </row>
    <row r="31" spans="1:21">
      <c r="A31" t="s">
        <v>91</v>
      </c>
      <c r="B31">
        <v>1303</v>
      </c>
      <c r="C31">
        <v>531893</v>
      </c>
      <c r="D31">
        <v>820</v>
      </c>
      <c r="E31">
        <v>325713</v>
      </c>
      <c r="F31">
        <v>0.047461</v>
      </c>
      <c r="G31">
        <v>325670</v>
      </c>
      <c r="H31">
        <v>37.6975</v>
      </c>
      <c r="I31">
        <v>325664</v>
      </c>
      <c r="J31">
        <v>79.935</v>
      </c>
      <c r="K31">
        <v>43978</v>
      </c>
      <c r="L31">
        <v>0</v>
      </c>
      <c r="M31">
        <v>-1</v>
      </c>
      <c r="N31">
        <v>631</v>
      </c>
      <c r="O31">
        <v>1.09682</v>
      </c>
      <c r="P31">
        <v>631</v>
      </c>
      <c r="Q31">
        <v>600</v>
      </c>
      <c r="R31" s="1">
        <v>600</v>
      </c>
      <c r="T31">
        <f t="shared" si="2"/>
        <v>0</v>
      </c>
      <c r="U31" s="1">
        <f t="shared" si="3"/>
        <v>0</v>
      </c>
    </row>
    <row r="32" spans="1:21">
      <c r="A32" t="s">
        <v>92</v>
      </c>
      <c r="B32">
        <v>10972</v>
      </c>
      <c r="C32">
        <v>175573</v>
      </c>
      <c r="D32">
        <v>167</v>
      </c>
      <c r="E32">
        <v>6771</v>
      </c>
      <c r="F32">
        <v>0.002579</v>
      </c>
      <c r="G32">
        <v>6770</v>
      </c>
      <c r="H32">
        <v>0.031883</v>
      </c>
      <c r="I32">
        <v>6770</v>
      </c>
      <c r="J32">
        <v>6.3565</v>
      </c>
      <c r="K32">
        <v>2605</v>
      </c>
      <c r="L32">
        <v>0</v>
      </c>
      <c r="M32">
        <v>-1</v>
      </c>
      <c r="N32">
        <v>66</v>
      </c>
      <c r="O32">
        <v>0.0257</v>
      </c>
      <c r="P32">
        <v>66</v>
      </c>
      <c r="Q32">
        <v>600</v>
      </c>
      <c r="R32" s="1">
        <v>219.51</v>
      </c>
      <c r="T32">
        <f t="shared" si="2"/>
        <v>0</v>
      </c>
      <c r="U32" s="1">
        <f t="shared" si="3"/>
        <v>1</v>
      </c>
    </row>
    <row r="33" spans="1:21">
      <c r="A33" t="s">
        <v>93</v>
      </c>
      <c r="B33">
        <v>113</v>
      </c>
      <c r="C33">
        <v>6222</v>
      </c>
      <c r="D33">
        <v>106</v>
      </c>
      <c r="E33">
        <v>5565</v>
      </c>
      <c r="F33">
        <v>0.00062</v>
      </c>
      <c r="G33">
        <v>5565</v>
      </c>
      <c r="H33">
        <v>0.039246</v>
      </c>
      <c r="I33">
        <v>5565</v>
      </c>
      <c r="J33">
        <v>0.000112</v>
      </c>
      <c r="K33">
        <v>1</v>
      </c>
      <c r="L33">
        <v>0</v>
      </c>
      <c r="M33">
        <v>0.100089</v>
      </c>
      <c r="N33">
        <v>105</v>
      </c>
      <c r="O33">
        <v>0.001022</v>
      </c>
      <c r="P33">
        <v>105</v>
      </c>
      <c r="Q33">
        <v>0.19393</v>
      </c>
      <c r="R33" s="1">
        <v>0.157338</v>
      </c>
      <c r="T33">
        <f t="shared" si="2"/>
        <v>0</v>
      </c>
      <c r="U33" s="1">
        <f t="shared" si="3"/>
        <v>1</v>
      </c>
    </row>
    <row r="34" spans="1:21">
      <c r="A34" t="s">
        <v>94</v>
      </c>
      <c r="B34">
        <v>1206</v>
      </c>
      <c r="C34">
        <v>65990</v>
      </c>
      <c r="D34">
        <v>280</v>
      </c>
      <c r="E34">
        <v>32575</v>
      </c>
      <c r="F34">
        <v>0.006774</v>
      </c>
      <c r="G34">
        <v>27464</v>
      </c>
      <c r="H34">
        <v>1.14919</v>
      </c>
      <c r="I34">
        <v>27397</v>
      </c>
      <c r="J34">
        <v>328.891</v>
      </c>
      <c r="K34">
        <v>1631</v>
      </c>
      <c r="L34">
        <v>11</v>
      </c>
      <c r="M34">
        <v>42.8017</v>
      </c>
      <c r="N34">
        <v>151</v>
      </c>
      <c r="O34">
        <v>0.037436</v>
      </c>
      <c r="P34">
        <v>159</v>
      </c>
      <c r="Q34">
        <v>387.769</v>
      </c>
      <c r="R34" s="1">
        <v>210.952</v>
      </c>
      <c r="T34">
        <f t="shared" si="2"/>
        <v>0</v>
      </c>
      <c r="U34" s="1">
        <f t="shared" si="3"/>
        <v>1</v>
      </c>
    </row>
    <row r="35" spans="1:21">
      <c r="A35" t="s">
        <v>95</v>
      </c>
      <c r="B35">
        <v>17151</v>
      </c>
      <c r="C35">
        <v>24015</v>
      </c>
      <c r="D35">
        <v>52</v>
      </c>
      <c r="E35">
        <v>617</v>
      </c>
      <c r="F35">
        <v>0.000788</v>
      </c>
      <c r="G35">
        <v>442</v>
      </c>
      <c r="H35">
        <v>0.001106</v>
      </c>
      <c r="I35">
        <v>437</v>
      </c>
      <c r="J35">
        <v>0.109157</v>
      </c>
      <c r="K35">
        <v>202</v>
      </c>
      <c r="L35">
        <v>1</v>
      </c>
      <c r="M35">
        <v>0.028213</v>
      </c>
      <c r="N35">
        <v>16</v>
      </c>
      <c r="O35">
        <v>0.002486</v>
      </c>
      <c r="P35">
        <v>17</v>
      </c>
      <c r="Q35">
        <v>0.158733</v>
      </c>
      <c r="R35" s="1">
        <v>0.059589</v>
      </c>
      <c r="T35">
        <f t="shared" si="2"/>
        <v>0</v>
      </c>
      <c r="U35" s="1">
        <f t="shared" si="3"/>
        <v>1</v>
      </c>
    </row>
    <row r="36" spans="1:21">
      <c r="A36" t="s">
        <v>96</v>
      </c>
      <c r="B36">
        <v>72</v>
      </c>
      <c r="C36">
        <v>355</v>
      </c>
      <c r="D36">
        <v>18</v>
      </c>
      <c r="E36">
        <v>150</v>
      </c>
      <c r="F36" s="3" t="s">
        <v>97</v>
      </c>
      <c r="G36">
        <v>150</v>
      </c>
      <c r="H36">
        <v>0.000139</v>
      </c>
      <c r="I36">
        <v>150</v>
      </c>
      <c r="J36" s="3" t="s">
        <v>26</v>
      </c>
      <c r="K36">
        <v>1</v>
      </c>
      <c r="L36">
        <v>0</v>
      </c>
      <c r="M36">
        <v>0.00602</v>
      </c>
      <c r="N36">
        <v>15</v>
      </c>
      <c r="O36" s="3" t="s">
        <v>98</v>
      </c>
      <c r="P36">
        <v>15</v>
      </c>
      <c r="Q36">
        <v>0.012922</v>
      </c>
      <c r="R36" s="1">
        <v>0.017346</v>
      </c>
      <c r="T36">
        <f t="shared" si="2"/>
        <v>1</v>
      </c>
      <c r="U36" s="1">
        <f t="shared" si="3"/>
        <v>0</v>
      </c>
    </row>
    <row r="37" spans="1:21">
      <c r="A37" t="s">
        <v>99</v>
      </c>
      <c r="B37">
        <v>34</v>
      </c>
      <c r="C37">
        <v>96</v>
      </c>
      <c r="D37">
        <v>12</v>
      </c>
      <c r="E37">
        <v>53</v>
      </c>
      <c r="F37" s="3" t="s">
        <v>46</v>
      </c>
      <c r="G37">
        <v>53</v>
      </c>
      <c r="H37" s="3" t="s">
        <v>100</v>
      </c>
      <c r="I37">
        <v>53</v>
      </c>
      <c r="J37">
        <v>0.00249</v>
      </c>
      <c r="K37">
        <v>21</v>
      </c>
      <c r="L37">
        <v>0</v>
      </c>
      <c r="M37">
        <v>0.008573</v>
      </c>
      <c r="N37">
        <v>7</v>
      </c>
      <c r="O37" s="3" t="s">
        <v>46</v>
      </c>
      <c r="P37">
        <v>7</v>
      </c>
      <c r="Q37">
        <v>0.028963</v>
      </c>
      <c r="R37" s="1">
        <v>0.011649</v>
      </c>
      <c r="T37">
        <f t="shared" si="2"/>
        <v>0</v>
      </c>
      <c r="U37" s="1">
        <f t="shared" si="3"/>
        <v>1</v>
      </c>
    </row>
    <row r="38" spans="1:21">
      <c r="A38" t="s">
        <v>101</v>
      </c>
      <c r="B38">
        <v>72</v>
      </c>
      <c r="C38">
        <v>129</v>
      </c>
      <c r="D38">
        <v>12</v>
      </c>
      <c r="E38">
        <v>53</v>
      </c>
      <c r="F38" s="3" t="s">
        <v>46</v>
      </c>
      <c r="G38">
        <v>35</v>
      </c>
      <c r="H38" s="3" t="s">
        <v>102</v>
      </c>
      <c r="I38">
        <v>35</v>
      </c>
      <c r="J38">
        <v>0.004002</v>
      </c>
      <c r="K38">
        <v>7</v>
      </c>
      <c r="L38">
        <v>0</v>
      </c>
      <c r="M38">
        <v>0.004283</v>
      </c>
      <c r="N38">
        <v>7</v>
      </c>
      <c r="O38" s="3" t="s">
        <v>103</v>
      </c>
      <c r="P38">
        <v>7</v>
      </c>
      <c r="Q38">
        <v>0.018461</v>
      </c>
      <c r="R38" s="1">
        <v>0.019651</v>
      </c>
      <c r="T38">
        <f t="shared" si="2"/>
        <v>1</v>
      </c>
      <c r="U38" s="1">
        <f t="shared" si="3"/>
        <v>0</v>
      </c>
    </row>
    <row r="39" spans="1:21">
      <c r="A39" t="s">
        <v>104</v>
      </c>
      <c r="B39">
        <v>80</v>
      </c>
      <c r="C39">
        <v>226</v>
      </c>
      <c r="D39">
        <v>18</v>
      </c>
      <c r="E39">
        <v>103</v>
      </c>
      <c r="F39" s="3" t="s">
        <v>103</v>
      </c>
      <c r="G39">
        <v>80</v>
      </c>
      <c r="H39" s="3" t="s">
        <v>43</v>
      </c>
      <c r="I39">
        <v>80</v>
      </c>
      <c r="J39">
        <v>0.003273</v>
      </c>
      <c r="K39">
        <v>26</v>
      </c>
      <c r="L39">
        <v>0</v>
      </c>
      <c r="M39">
        <v>0.004085</v>
      </c>
      <c r="N39">
        <v>8</v>
      </c>
      <c r="O39" s="3" t="s">
        <v>105</v>
      </c>
      <c r="P39">
        <v>9</v>
      </c>
      <c r="Q39">
        <v>0.012607</v>
      </c>
      <c r="R39" s="1">
        <v>0.079909</v>
      </c>
      <c r="T39">
        <f t="shared" si="2"/>
        <v>1</v>
      </c>
      <c r="U39" s="1">
        <f t="shared" si="3"/>
        <v>0</v>
      </c>
    </row>
    <row r="40" spans="1:21">
      <c r="A40" t="s">
        <v>106</v>
      </c>
      <c r="B40">
        <v>34</v>
      </c>
      <c r="C40">
        <v>41</v>
      </c>
      <c r="D40">
        <v>6</v>
      </c>
      <c r="E40">
        <v>14</v>
      </c>
      <c r="F40" s="3" t="s">
        <v>107</v>
      </c>
      <c r="G40">
        <v>14</v>
      </c>
      <c r="H40" s="3" t="s">
        <v>108</v>
      </c>
      <c r="I40">
        <v>14</v>
      </c>
      <c r="J40" s="3" t="s">
        <v>57</v>
      </c>
      <c r="K40">
        <v>2</v>
      </c>
      <c r="L40">
        <v>1</v>
      </c>
      <c r="M40">
        <v>0.022905</v>
      </c>
      <c r="N40">
        <v>4</v>
      </c>
      <c r="O40" s="3" t="s">
        <v>109</v>
      </c>
      <c r="P40">
        <v>4</v>
      </c>
      <c r="Q40">
        <v>0.045549</v>
      </c>
      <c r="R40" s="1">
        <v>0.018969</v>
      </c>
      <c r="T40">
        <f t="shared" si="2"/>
        <v>0</v>
      </c>
      <c r="U40" s="1">
        <f t="shared" si="3"/>
        <v>1</v>
      </c>
    </row>
    <row r="41" spans="1:21">
      <c r="A41" t="s">
        <v>110</v>
      </c>
      <c r="B41">
        <v>31</v>
      </c>
      <c r="C41">
        <v>39</v>
      </c>
      <c r="D41">
        <v>6</v>
      </c>
      <c r="E41">
        <v>15</v>
      </c>
      <c r="F41" s="3" t="s">
        <v>111</v>
      </c>
      <c r="G41">
        <v>15</v>
      </c>
      <c r="H41" s="3" t="s">
        <v>41</v>
      </c>
      <c r="I41">
        <v>15</v>
      </c>
      <c r="J41" s="3" t="s">
        <v>51</v>
      </c>
      <c r="K41">
        <v>1</v>
      </c>
      <c r="L41">
        <v>0</v>
      </c>
      <c r="M41">
        <v>0.004654</v>
      </c>
      <c r="N41">
        <v>5</v>
      </c>
      <c r="O41" s="3" t="s">
        <v>109</v>
      </c>
      <c r="P41">
        <v>5</v>
      </c>
      <c r="Q41">
        <v>0.012366</v>
      </c>
      <c r="R41" s="1">
        <v>0.015412</v>
      </c>
      <c r="T41">
        <f t="shared" si="2"/>
        <v>1</v>
      </c>
      <c r="U41" s="1">
        <f t="shared" si="3"/>
        <v>0</v>
      </c>
    </row>
    <row r="42" spans="1:21">
      <c r="A42" t="s">
        <v>112</v>
      </c>
      <c r="B42">
        <v>135</v>
      </c>
      <c r="C42">
        <v>1078</v>
      </c>
      <c r="D42">
        <v>34</v>
      </c>
      <c r="E42">
        <v>451</v>
      </c>
      <c r="F42" s="3" t="s">
        <v>113</v>
      </c>
      <c r="G42">
        <v>407</v>
      </c>
      <c r="H42">
        <v>0.001155</v>
      </c>
      <c r="I42">
        <v>407</v>
      </c>
      <c r="J42">
        <v>0.021433</v>
      </c>
      <c r="K42">
        <v>31</v>
      </c>
      <c r="L42">
        <v>0</v>
      </c>
      <c r="M42">
        <v>0.022923</v>
      </c>
      <c r="N42">
        <v>21</v>
      </c>
      <c r="O42">
        <v>0.000139</v>
      </c>
      <c r="P42">
        <v>21</v>
      </c>
      <c r="Q42">
        <v>0.102269</v>
      </c>
      <c r="R42" s="1">
        <v>0.031109</v>
      </c>
      <c r="T42">
        <f t="shared" si="2"/>
        <v>0</v>
      </c>
      <c r="U42" s="1">
        <f t="shared" si="3"/>
        <v>1</v>
      </c>
    </row>
    <row r="43" spans="1:21">
      <c r="A43" t="s">
        <v>114</v>
      </c>
      <c r="B43">
        <v>13</v>
      </c>
      <c r="C43">
        <v>7</v>
      </c>
      <c r="D43">
        <v>1</v>
      </c>
      <c r="E43">
        <v>0</v>
      </c>
      <c r="F43" s="3" t="s">
        <v>51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3" t="s">
        <v>51</v>
      </c>
      <c r="N43">
        <v>2</v>
      </c>
      <c r="O43" s="3" t="s">
        <v>26</v>
      </c>
      <c r="P43">
        <v>2</v>
      </c>
      <c r="Q43">
        <v>0.010083</v>
      </c>
      <c r="R43" s="1">
        <v>0.006419</v>
      </c>
      <c r="T43">
        <f t="shared" si="2"/>
        <v>0</v>
      </c>
      <c r="U43" s="1">
        <f t="shared" si="3"/>
        <v>1</v>
      </c>
    </row>
    <row r="44" spans="1:21">
      <c r="A44" t="s">
        <v>115</v>
      </c>
      <c r="B44">
        <v>5</v>
      </c>
      <c r="C44">
        <v>6</v>
      </c>
      <c r="D44">
        <v>4</v>
      </c>
      <c r="E44">
        <v>5</v>
      </c>
      <c r="F44" s="3" t="s">
        <v>116</v>
      </c>
      <c r="G44">
        <v>5</v>
      </c>
      <c r="H44" s="3" t="s">
        <v>111</v>
      </c>
      <c r="I44">
        <v>5</v>
      </c>
      <c r="J44" s="3" t="s">
        <v>51</v>
      </c>
      <c r="K44">
        <v>2</v>
      </c>
      <c r="L44">
        <v>1</v>
      </c>
      <c r="M44">
        <v>0.008231</v>
      </c>
      <c r="N44">
        <v>2</v>
      </c>
      <c r="O44" s="3" t="s">
        <v>107</v>
      </c>
      <c r="P44">
        <v>2</v>
      </c>
      <c r="Q44">
        <v>0.018722</v>
      </c>
      <c r="R44" s="1">
        <v>0.034186</v>
      </c>
      <c r="T44">
        <f t="shared" si="2"/>
        <v>1</v>
      </c>
      <c r="U44" s="1">
        <f t="shared" si="3"/>
        <v>0</v>
      </c>
    </row>
    <row r="45" spans="1:21">
      <c r="A45" t="s">
        <v>117</v>
      </c>
      <c r="B45">
        <v>22</v>
      </c>
      <c r="C45">
        <v>12</v>
      </c>
      <c r="D45">
        <v>2</v>
      </c>
      <c r="E45">
        <v>1</v>
      </c>
      <c r="F45" s="3" t="s">
        <v>69</v>
      </c>
      <c r="G45">
        <v>0</v>
      </c>
      <c r="H45" s="3" t="s">
        <v>69</v>
      </c>
      <c r="I45">
        <v>0</v>
      </c>
      <c r="J45">
        <v>0</v>
      </c>
      <c r="K45">
        <v>0</v>
      </c>
      <c r="L45">
        <v>0</v>
      </c>
      <c r="M45">
        <v>0.035863</v>
      </c>
      <c r="N45">
        <v>2</v>
      </c>
      <c r="O45" s="3" t="s">
        <v>116</v>
      </c>
      <c r="P45">
        <v>2</v>
      </c>
      <c r="Q45">
        <v>0.069476</v>
      </c>
      <c r="R45" s="1">
        <v>0.005875</v>
      </c>
      <c r="T45">
        <f t="shared" si="2"/>
        <v>0</v>
      </c>
      <c r="U45" s="1">
        <f t="shared" si="3"/>
        <v>1</v>
      </c>
    </row>
    <row r="46" spans="1:21">
      <c r="A46" t="s">
        <v>118</v>
      </c>
      <c r="B46">
        <v>62</v>
      </c>
      <c r="C46">
        <v>442</v>
      </c>
      <c r="D46">
        <v>22</v>
      </c>
      <c r="E46">
        <v>207</v>
      </c>
      <c r="F46" s="3" t="s">
        <v>55</v>
      </c>
      <c r="G46">
        <v>168</v>
      </c>
      <c r="H46">
        <v>0.00038</v>
      </c>
      <c r="I46">
        <v>168</v>
      </c>
      <c r="J46">
        <v>0.008778</v>
      </c>
      <c r="K46">
        <v>15</v>
      </c>
      <c r="L46">
        <v>0</v>
      </c>
      <c r="M46">
        <v>0.00996</v>
      </c>
      <c r="N46">
        <v>16</v>
      </c>
      <c r="O46" s="3" t="s">
        <v>119</v>
      </c>
      <c r="P46">
        <v>16</v>
      </c>
      <c r="Q46">
        <v>0.030289</v>
      </c>
      <c r="R46" s="1">
        <v>0.017691</v>
      </c>
      <c r="T46">
        <f t="shared" si="2"/>
        <v>0</v>
      </c>
      <c r="U46" s="1">
        <f t="shared" si="3"/>
        <v>1</v>
      </c>
    </row>
    <row r="47" spans="1:21">
      <c r="A47" t="s">
        <v>120</v>
      </c>
      <c r="B47">
        <v>21</v>
      </c>
      <c r="C47">
        <v>23</v>
      </c>
      <c r="D47">
        <v>6</v>
      </c>
      <c r="E47">
        <v>15</v>
      </c>
      <c r="F47" s="3" t="s">
        <v>26</v>
      </c>
      <c r="G47">
        <v>15</v>
      </c>
      <c r="H47" s="3" t="s">
        <v>121</v>
      </c>
      <c r="I47">
        <v>15</v>
      </c>
      <c r="J47" s="3" t="s">
        <v>57</v>
      </c>
      <c r="K47">
        <v>1</v>
      </c>
      <c r="L47">
        <v>0</v>
      </c>
      <c r="M47">
        <v>0.01023</v>
      </c>
      <c r="N47">
        <v>5</v>
      </c>
      <c r="O47" s="3" t="s">
        <v>26</v>
      </c>
      <c r="P47">
        <v>5</v>
      </c>
      <c r="Q47">
        <v>0.035336</v>
      </c>
      <c r="R47" s="1">
        <v>0.013465</v>
      </c>
      <c r="T47">
        <f t="shared" si="2"/>
        <v>0</v>
      </c>
      <c r="U47" s="1">
        <f t="shared" si="3"/>
        <v>1</v>
      </c>
    </row>
    <row r="48" spans="1:21">
      <c r="A48" t="s">
        <v>122</v>
      </c>
      <c r="B48">
        <v>10</v>
      </c>
      <c r="C48">
        <v>5</v>
      </c>
      <c r="D48">
        <v>0</v>
      </c>
      <c r="E48">
        <v>0</v>
      </c>
      <c r="F48" s="3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3" t="s">
        <v>57</v>
      </c>
      <c r="N48">
        <v>2</v>
      </c>
      <c r="O48" s="3" t="s">
        <v>69</v>
      </c>
      <c r="P48">
        <v>2</v>
      </c>
      <c r="Q48">
        <v>0.004931</v>
      </c>
      <c r="R48" s="1">
        <v>0.009099</v>
      </c>
      <c r="T48">
        <f t="shared" si="2"/>
        <v>1</v>
      </c>
      <c r="U48" s="1">
        <f t="shared" si="3"/>
        <v>0</v>
      </c>
    </row>
    <row r="49" spans="1:21">
      <c r="A49" t="s">
        <v>123</v>
      </c>
      <c r="B49">
        <v>27</v>
      </c>
      <c r="C49">
        <v>26</v>
      </c>
      <c r="D49">
        <v>12</v>
      </c>
      <c r="E49">
        <v>16</v>
      </c>
      <c r="F49" s="3" t="s">
        <v>107</v>
      </c>
      <c r="G49">
        <v>13</v>
      </c>
      <c r="H49" s="3" t="s">
        <v>83</v>
      </c>
      <c r="I49">
        <v>10</v>
      </c>
      <c r="J49">
        <v>0.001554</v>
      </c>
      <c r="K49">
        <v>4</v>
      </c>
      <c r="L49">
        <v>1</v>
      </c>
      <c r="M49">
        <v>0.011071</v>
      </c>
      <c r="N49">
        <v>2</v>
      </c>
      <c r="O49" s="3" t="s">
        <v>56</v>
      </c>
      <c r="P49">
        <v>3</v>
      </c>
      <c r="Q49">
        <v>0.031621</v>
      </c>
      <c r="R49" s="1">
        <v>0.008511</v>
      </c>
      <c r="T49">
        <f t="shared" si="2"/>
        <v>0</v>
      </c>
      <c r="U49" s="1">
        <f t="shared" si="3"/>
        <v>1</v>
      </c>
    </row>
    <row r="50" spans="1:21">
      <c r="A50" t="s">
        <v>124</v>
      </c>
      <c r="B50">
        <v>273</v>
      </c>
      <c r="C50">
        <v>4510</v>
      </c>
      <c r="D50">
        <v>78</v>
      </c>
      <c r="E50">
        <v>2162</v>
      </c>
      <c r="F50">
        <v>0.000289</v>
      </c>
      <c r="G50">
        <v>2125</v>
      </c>
      <c r="H50">
        <v>0.007845</v>
      </c>
      <c r="I50">
        <v>2125</v>
      </c>
      <c r="J50">
        <v>0.580292</v>
      </c>
      <c r="K50">
        <v>477</v>
      </c>
      <c r="L50">
        <v>0</v>
      </c>
      <c r="M50">
        <v>0.108529</v>
      </c>
      <c r="N50">
        <v>34</v>
      </c>
      <c r="O50">
        <v>0.000622</v>
      </c>
      <c r="P50">
        <v>41</v>
      </c>
      <c r="Q50">
        <v>0.727421</v>
      </c>
      <c r="R50" s="1">
        <v>0.581874</v>
      </c>
      <c r="T50">
        <f t="shared" ref="T50:T96" si="4">IF(Q50&lt;R50,1,0)</f>
        <v>0</v>
      </c>
      <c r="U50" s="1">
        <f t="shared" ref="U50:U96" si="5">IF(R50&lt;Q50,1,0)</f>
        <v>1</v>
      </c>
    </row>
    <row r="51" spans="1:21">
      <c r="A51" t="s">
        <v>125</v>
      </c>
      <c r="B51">
        <v>102</v>
      </c>
      <c r="C51">
        <v>108</v>
      </c>
      <c r="D51">
        <v>11</v>
      </c>
      <c r="E51">
        <v>33</v>
      </c>
      <c r="F51" s="3" t="s">
        <v>56</v>
      </c>
      <c r="G51">
        <v>33</v>
      </c>
      <c r="H51" s="3" t="s">
        <v>84</v>
      </c>
      <c r="I51">
        <v>33</v>
      </c>
      <c r="J51">
        <v>0.001419</v>
      </c>
      <c r="K51">
        <v>8</v>
      </c>
      <c r="L51">
        <v>0</v>
      </c>
      <c r="M51">
        <v>0.005127</v>
      </c>
      <c r="N51">
        <v>4</v>
      </c>
      <c r="O51" s="3" t="s">
        <v>126</v>
      </c>
      <c r="P51">
        <v>5</v>
      </c>
      <c r="Q51">
        <v>0.019186</v>
      </c>
      <c r="R51" s="1">
        <v>0.013289</v>
      </c>
      <c r="T51">
        <f t="shared" si="4"/>
        <v>0</v>
      </c>
      <c r="U51" s="1">
        <f t="shared" si="5"/>
        <v>1</v>
      </c>
    </row>
    <row r="52" spans="1:21">
      <c r="A52" t="s">
        <v>127</v>
      </c>
      <c r="B52">
        <v>8</v>
      </c>
      <c r="C52">
        <v>4</v>
      </c>
      <c r="D52">
        <v>0</v>
      </c>
      <c r="E52">
        <v>0</v>
      </c>
      <c r="F52" s="3" t="s">
        <v>57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3" t="s">
        <v>57</v>
      </c>
      <c r="N52">
        <v>2</v>
      </c>
      <c r="O52" s="3" t="s">
        <v>51</v>
      </c>
      <c r="P52">
        <v>2</v>
      </c>
      <c r="Q52">
        <v>0.007759</v>
      </c>
      <c r="R52" s="1">
        <v>0.006114</v>
      </c>
      <c r="T52">
        <f t="shared" si="4"/>
        <v>0</v>
      </c>
      <c r="U52" s="1">
        <f t="shared" si="5"/>
        <v>1</v>
      </c>
    </row>
    <row r="53" spans="1:21">
      <c r="A53" t="s">
        <v>128</v>
      </c>
      <c r="B53">
        <v>55</v>
      </c>
      <c r="C53">
        <v>60</v>
      </c>
      <c r="D53">
        <v>8</v>
      </c>
      <c r="E53">
        <v>20</v>
      </c>
      <c r="F53" s="3" t="s">
        <v>107</v>
      </c>
      <c r="G53">
        <v>10</v>
      </c>
      <c r="H53" s="3" t="s">
        <v>83</v>
      </c>
      <c r="I53">
        <v>10</v>
      </c>
      <c r="J53">
        <v>0.001262</v>
      </c>
      <c r="K53">
        <v>4</v>
      </c>
      <c r="L53">
        <v>0</v>
      </c>
      <c r="M53">
        <v>0.003406</v>
      </c>
      <c r="N53">
        <v>4</v>
      </c>
      <c r="O53" s="3" t="s">
        <v>56</v>
      </c>
      <c r="P53">
        <v>4</v>
      </c>
      <c r="Q53">
        <v>0.015207</v>
      </c>
      <c r="R53" s="1">
        <v>0.010731</v>
      </c>
      <c r="T53">
        <f t="shared" si="4"/>
        <v>0</v>
      </c>
      <c r="U53" s="1">
        <f t="shared" si="5"/>
        <v>1</v>
      </c>
    </row>
    <row r="54" spans="1:21">
      <c r="A54" t="s">
        <v>129</v>
      </c>
      <c r="B54">
        <v>127</v>
      </c>
      <c r="C54">
        <v>931</v>
      </c>
      <c r="D54">
        <v>38</v>
      </c>
      <c r="E54">
        <v>449</v>
      </c>
      <c r="F54" s="3" t="s">
        <v>130</v>
      </c>
      <c r="G54">
        <v>408</v>
      </c>
      <c r="H54">
        <v>0.000752</v>
      </c>
      <c r="I54">
        <v>408</v>
      </c>
      <c r="J54">
        <v>0.034956</v>
      </c>
      <c r="K54">
        <v>96</v>
      </c>
      <c r="L54">
        <v>0</v>
      </c>
      <c r="M54">
        <v>0.011398</v>
      </c>
      <c r="N54">
        <v>16</v>
      </c>
      <c r="O54">
        <v>0.000122</v>
      </c>
      <c r="P54">
        <v>17</v>
      </c>
      <c r="Q54">
        <v>0.058852</v>
      </c>
      <c r="R54" s="1">
        <v>0.036712</v>
      </c>
      <c r="T54">
        <f t="shared" si="4"/>
        <v>0</v>
      </c>
      <c r="U54" s="1">
        <f t="shared" si="5"/>
        <v>1</v>
      </c>
    </row>
    <row r="55" spans="1:21">
      <c r="A55" t="s">
        <v>131</v>
      </c>
      <c r="B55">
        <v>16</v>
      </c>
      <c r="C55">
        <v>13</v>
      </c>
      <c r="D55">
        <v>5</v>
      </c>
      <c r="E55">
        <v>5</v>
      </c>
      <c r="F55" s="3" t="s">
        <v>69</v>
      </c>
      <c r="G55">
        <v>5</v>
      </c>
      <c r="H55" s="3" t="s">
        <v>26</v>
      </c>
      <c r="I55">
        <v>5</v>
      </c>
      <c r="J55" s="3" t="s">
        <v>57</v>
      </c>
      <c r="K55">
        <v>2</v>
      </c>
      <c r="L55">
        <v>1</v>
      </c>
      <c r="M55">
        <v>0.004541</v>
      </c>
      <c r="N55">
        <v>2</v>
      </c>
      <c r="O55" s="3" t="s">
        <v>26</v>
      </c>
      <c r="P55">
        <v>2</v>
      </c>
      <c r="Q55">
        <v>0.010866</v>
      </c>
      <c r="R55" s="1">
        <v>0.018122</v>
      </c>
      <c r="T55">
        <f t="shared" si="4"/>
        <v>1</v>
      </c>
      <c r="U55" s="1">
        <f t="shared" si="5"/>
        <v>0</v>
      </c>
    </row>
    <row r="56" spans="1:21">
      <c r="A56" t="s">
        <v>132</v>
      </c>
      <c r="B56">
        <v>35</v>
      </c>
      <c r="C56">
        <v>368</v>
      </c>
      <c r="D56">
        <v>27</v>
      </c>
      <c r="E56">
        <v>351</v>
      </c>
      <c r="F56" s="3" t="s">
        <v>50</v>
      </c>
      <c r="G56">
        <v>351</v>
      </c>
      <c r="H56">
        <v>0.000475</v>
      </c>
      <c r="I56">
        <v>351</v>
      </c>
      <c r="J56" s="3" t="s">
        <v>111</v>
      </c>
      <c r="K56">
        <v>1</v>
      </c>
      <c r="L56">
        <v>0</v>
      </c>
      <c r="M56">
        <v>0.009132</v>
      </c>
      <c r="N56">
        <v>26</v>
      </c>
      <c r="O56" s="3" t="s">
        <v>133</v>
      </c>
      <c r="P56">
        <v>26</v>
      </c>
      <c r="Q56">
        <v>0.0168</v>
      </c>
      <c r="R56" s="1">
        <v>0.023559</v>
      </c>
      <c r="T56">
        <f t="shared" si="4"/>
        <v>1</v>
      </c>
      <c r="U56" s="1">
        <f t="shared" si="5"/>
        <v>0</v>
      </c>
    </row>
    <row r="57" spans="1:21">
      <c r="A57" t="s">
        <v>134</v>
      </c>
      <c r="B57">
        <v>26</v>
      </c>
      <c r="C57">
        <v>15</v>
      </c>
      <c r="D57">
        <v>3</v>
      </c>
      <c r="E57">
        <v>1</v>
      </c>
      <c r="F57" s="3" t="s">
        <v>116</v>
      </c>
      <c r="G57">
        <v>0</v>
      </c>
      <c r="H57" s="3" t="s">
        <v>26</v>
      </c>
      <c r="I57">
        <v>0</v>
      </c>
      <c r="J57" s="3" t="s">
        <v>57</v>
      </c>
      <c r="K57">
        <v>0</v>
      </c>
      <c r="L57">
        <v>0</v>
      </c>
      <c r="M57">
        <v>0.005115</v>
      </c>
      <c r="N57">
        <v>2</v>
      </c>
      <c r="O57" s="3" t="s">
        <v>83</v>
      </c>
      <c r="P57">
        <v>2</v>
      </c>
      <c r="Q57">
        <v>0.015326</v>
      </c>
      <c r="R57" s="1">
        <v>0.005201</v>
      </c>
      <c r="T57">
        <f t="shared" si="4"/>
        <v>0</v>
      </c>
      <c r="U57" s="1">
        <f t="shared" si="5"/>
        <v>1</v>
      </c>
    </row>
    <row r="58" spans="1:21">
      <c r="A58" t="s">
        <v>135</v>
      </c>
      <c r="B58">
        <v>14</v>
      </c>
      <c r="C58">
        <v>11</v>
      </c>
      <c r="D58">
        <v>5</v>
      </c>
      <c r="E58">
        <v>3</v>
      </c>
      <c r="F58" s="3" t="s">
        <v>69</v>
      </c>
      <c r="G58">
        <v>3</v>
      </c>
      <c r="H58" s="3" t="s">
        <v>69</v>
      </c>
      <c r="I58">
        <v>3</v>
      </c>
      <c r="J58" s="3" t="s">
        <v>57</v>
      </c>
      <c r="K58">
        <v>1</v>
      </c>
      <c r="L58">
        <v>0</v>
      </c>
      <c r="M58">
        <v>0.004799</v>
      </c>
      <c r="N58">
        <v>2</v>
      </c>
      <c r="O58" s="3" t="s">
        <v>116</v>
      </c>
      <c r="P58">
        <v>2</v>
      </c>
      <c r="Q58">
        <v>0.013101</v>
      </c>
      <c r="R58" s="1">
        <v>0.014279</v>
      </c>
      <c r="T58">
        <f t="shared" si="4"/>
        <v>1</v>
      </c>
      <c r="U58" s="1">
        <f t="shared" si="5"/>
        <v>0</v>
      </c>
    </row>
    <row r="59" spans="1:21">
      <c r="A59" t="s">
        <v>136</v>
      </c>
      <c r="B59">
        <v>28</v>
      </c>
      <c r="C59">
        <v>91</v>
      </c>
      <c r="D59">
        <v>12</v>
      </c>
      <c r="E59">
        <v>55</v>
      </c>
      <c r="F59" s="3" t="s">
        <v>103</v>
      </c>
      <c r="G59">
        <v>55</v>
      </c>
      <c r="H59" s="3" t="s">
        <v>137</v>
      </c>
      <c r="I59">
        <v>55</v>
      </c>
      <c r="J59">
        <v>0.001448</v>
      </c>
      <c r="K59">
        <v>21</v>
      </c>
      <c r="L59">
        <v>0</v>
      </c>
      <c r="M59">
        <v>0.006764</v>
      </c>
      <c r="N59">
        <v>7</v>
      </c>
      <c r="O59" s="3" t="s">
        <v>105</v>
      </c>
      <c r="P59">
        <v>7</v>
      </c>
      <c r="Q59">
        <v>0.024492</v>
      </c>
      <c r="R59" s="1">
        <v>0.00826</v>
      </c>
      <c r="T59">
        <f t="shared" si="4"/>
        <v>0</v>
      </c>
      <c r="U59" s="1">
        <f t="shared" si="5"/>
        <v>1</v>
      </c>
    </row>
    <row r="60" spans="1:21">
      <c r="A60" t="s">
        <v>138</v>
      </c>
      <c r="B60">
        <v>26</v>
      </c>
      <c r="C60">
        <v>18</v>
      </c>
      <c r="D60">
        <v>6</v>
      </c>
      <c r="E60">
        <v>6</v>
      </c>
      <c r="F60" s="3" t="s">
        <v>116</v>
      </c>
      <c r="G60">
        <v>5</v>
      </c>
      <c r="H60" s="3" t="s">
        <v>111</v>
      </c>
      <c r="I60">
        <v>4</v>
      </c>
      <c r="J60">
        <v>0.001871</v>
      </c>
      <c r="K60">
        <v>1</v>
      </c>
      <c r="L60">
        <v>0</v>
      </c>
      <c r="M60">
        <v>0.005741</v>
      </c>
      <c r="N60">
        <v>2</v>
      </c>
      <c r="O60" s="3" t="s">
        <v>109</v>
      </c>
      <c r="P60">
        <v>2</v>
      </c>
      <c r="Q60">
        <v>0.048379</v>
      </c>
      <c r="R60" s="1">
        <v>0.015911</v>
      </c>
      <c r="T60">
        <f t="shared" si="4"/>
        <v>0</v>
      </c>
      <c r="U60" s="1">
        <f t="shared" si="5"/>
        <v>1</v>
      </c>
    </row>
    <row r="61" spans="1:21">
      <c r="A61" t="s">
        <v>139</v>
      </c>
      <c r="B61">
        <v>13</v>
      </c>
      <c r="C61">
        <v>8</v>
      </c>
      <c r="D61">
        <v>2</v>
      </c>
      <c r="E61">
        <v>1</v>
      </c>
      <c r="F61" s="3" t="s">
        <v>69</v>
      </c>
      <c r="G61">
        <v>0</v>
      </c>
      <c r="H61" s="3" t="s">
        <v>69</v>
      </c>
      <c r="I61">
        <v>0</v>
      </c>
      <c r="J61">
        <v>0</v>
      </c>
      <c r="K61">
        <v>0</v>
      </c>
      <c r="L61">
        <v>0</v>
      </c>
      <c r="M61">
        <v>0.003277</v>
      </c>
      <c r="N61">
        <v>2</v>
      </c>
      <c r="O61" s="3" t="s">
        <v>116</v>
      </c>
      <c r="P61">
        <v>2</v>
      </c>
      <c r="Q61">
        <v>0.010349</v>
      </c>
      <c r="R61" s="1">
        <v>0.01235</v>
      </c>
      <c r="T61">
        <f t="shared" si="4"/>
        <v>1</v>
      </c>
      <c r="U61" s="1">
        <f t="shared" si="5"/>
        <v>0</v>
      </c>
    </row>
    <row r="62" spans="1:21">
      <c r="A62" t="s">
        <v>140</v>
      </c>
      <c r="B62">
        <v>18</v>
      </c>
      <c r="C62">
        <v>12</v>
      </c>
      <c r="D62">
        <v>5</v>
      </c>
      <c r="E62">
        <v>3</v>
      </c>
      <c r="F62" s="3" t="s">
        <v>69</v>
      </c>
      <c r="G62">
        <v>3</v>
      </c>
      <c r="H62" s="3" t="s">
        <v>26</v>
      </c>
      <c r="I62">
        <v>3</v>
      </c>
      <c r="J62" s="3" t="s">
        <v>57</v>
      </c>
      <c r="K62">
        <v>1</v>
      </c>
      <c r="L62">
        <v>0</v>
      </c>
      <c r="M62">
        <v>0.004552</v>
      </c>
      <c r="N62">
        <v>2</v>
      </c>
      <c r="O62" s="3" t="s">
        <v>116</v>
      </c>
      <c r="P62">
        <v>2</v>
      </c>
      <c r="Q62">
        <v>0.012324</v>
      </c>
      <c r="R62" s="1">
        <v>0.022459</v>
      </c>
      <c r="T62">
        <f t="shared" si="4"/>
        <v>1</v>
      </c>
      <c r="U62" s="1">
        <f t="shared" si="5"/>
        <v>0</v>
      </c>
    </row>
    <row r="63" spans="1:21">
      <c r="A63" t="s">
        <v>141</v>
      </c>
      <c r="B63">
        <v>7</v>
      </c>
      <c r="C63">
        <v>5</v>
      </c>
      <c r="D63">
        <v>3</v>
      </c>
      <c r="E63">
        <v>3</v>
      </c>
      <c r="F63" s="3" t="s">
        <v>51</v>
      </c>
      <c r="G63">
        <v>3</v>
      </c>
      <c r="H63" s="3" t="s">
        <v>69</v>
      </c>
      <c r="I63">
        <v>3</v>
      </c>
      <c r="J63">
        <v>0</v>
      </c>
      <c r="K63">
        <v>1</v>
      </c>
      <c r="L63">
        <v>0</v>
      </c>
      <c r="M63">
        <v>0.00819</v>
      </c>
      <c r="N63">
        <v>2</v>
      </c>
      <c r="O63" s="3" t="s">
        <v>51</v>
      </c>
      <c r="P63">
        <v>2</v>
      </c>
      <c r="Q63">
        <v>0.018315</v>
      </c>
      <c r="R63" s="1">
        <v>0.016294</v>
      </c>
      <c r="T63">
        <f t="shared" si="4"/>
        <v>0</v>
      </c>
      <c r="U63" s="1">
        <f t="shared" si="5"/>
        <v>1</v>
      </c>
    </row>
    <row r="64" spans="1:21">
      <c r="A64" t="s">
        <v>142</v>
      </c>
      <c r="B64">
        <v>2623</v>
      </c>
      <c r="C64">
        <v>473614</v>
      </c>
      <c r="D64">
        <v>937</v>
      </c>
      <c r="E64">
        <v>353419</v>
      </c>
      <c r="F64">
        <v>0.059536</v>
      </c>
      <c r="G64">
        <v>-1</v>
      </c>
      <c r="H64">
        <v>50.5522</v>
      </c>
      <c r="I64">
        <v>-1</v>
      </c>
      <c r="J64">
        <v>-1</v>
      </c>
      <c r="K64">
        <v>0</v>
      </c>
      <c r="L64">
        <v>0</v>
      </c>
      <c r="M64">
        <v>-1</v>
      </c>
      <c r="N64">
        <v>427</v>
      </c>
      <c r="O64">
        <v>1.06912</v>
      </c>
      <c r="P64">
        <v>427</v>
      </c>
      <c r="Q64">
        <v>600</v>
      </c>
      <c r="R64" s="1">
        <v>600</v>
      </c>
      <c r="T64">
        <f t="shared" si="4"/>
        <v>0</v>
      </c>
      <c r="U64" s="1">
        <f t="shared" si="5"/>
        <v>0</v>
      </c>
    </row>
    <row r="65" spans="1:21">
      <c r="A65" t="s">
        <v>143</v>
      </c>
      <c r="B65">
        <v>56739</v>
      </c>
      <c r="C65">
        <v>212945</v>
      </c>
      <c r="D65">
        <v>1596</v>
      </c>
      <c r="E65">
        <v>36641</v>
      </c>
      <c r="F65">
        <v>0.008778</v>
      </c>
      <c r="G65">
        <v>14008</v>
      </c>
      <c r="H65">
        <v>0.124611</v>
      </c>
      <c r="I65">
        <v>13853</v>
      </c>
      <c r="J65">
        <v>1.01627</v>
      </c>
      <c r="K65">
        <v>549</v>
      </c>
      <c r="L65">
        <v>0</v>
      </c>
      <c r="M65">
        <v>-1</v>
      </c>
      <c r="N65">
        <v>18</v>
      </c>
      <c r="O65">
        <v>0.019282</v>
      </c>
      <c r="P65">
        <v>18</v>
      </c>
      <c r="Q65">
        <v>600</v>
      </c>
      <c r="R65" s="1">
        <v>600</v>
      </c>
      <c r="T65">
        <f t="shared" si="4"/>
        <v>0</v>
      </c>
      <c r="U65" s="1">
        <f t="shared" si="5"/>
        <v>0</v>
      </c>
    </row>
    <row r="66" spans="1:21">
      <c r="A66" t="s">
        <v>144</v>
      </c>
      <c r="B66">
        <v>62</v>
      </c>
      <c r="C66">
        <v>159</v>
      </c>
      <c r="D66">
        <v>31</v>
      </c>
      <c r="E66">
        <v>90</v>
      </c>
      <c r="F66" s="3" t="s">
        <v>50</v>
      </c>
      <c r="G66">
        <v>0</v>
      </c>
      <c r="H66" s="3" t="s">
        <v>102</v>
      </c>
      <c r="I66">
        <v>0</v>
      </c>
      <c r="J66">
        <v>0</v>
      </c>
      <c r="K66">
        <v>0</v>
      </c>
      <c r="L66">
        <v>0</v>
      </c>
      <c r="M66">
        <v>0.016201</v>
      </c>
      <c r="N66">
        <v>5</v>
      </c>
      <c r="O66" s="3" t="s">
        <v>103</v>
      </c>
      <c r="P66">
        <v>5</v>
      </c>
      <c r="Q66">
        <v>0.024315</v>
      </c>
      <c r="R66" s="1">
        <v>0.005812</v>
      </c>
      <c r="T66">
        <f t="shared" si="4"/>
        <v>0</v>
      </c>
      <c r="U66" s="1">
        <f t="shared" si="5"/>
        <v>1</v>
      </c>
    </row>
    <row r="67" spans="1:21">
      <c r="A67" t="s">
        <v>145</v>
      </c>
      <c r="B67">
        <v>154908</v>
      </c>
      <c r="C67">
        <v>327162</v>
      </c>
      <c r="D67">
        <v>15766</v>
      </c>
      <c r="E67">
        <v>134615</v>
      </c>
      <c r="F67">
        <v>0.035939</v>
      </c>
      <c r="G67">
        <v>5524</v>
      </c>
      <c r="H67">
        <v>0.11292</v>
      </c>
      <c r="I67">
        <v>5031</v>
      </c>
      <c r="J67">
        <v>0.073319</v>
      </c>
      <c r="K67">
        <v>322</v>
      </c>
      <c r="L67">
        <v>40</v>
      </c>
      <c r="M67">
        <v>1.94724</v>
      </c>
      <c r="N67">
        <v>5</v>
      </c>
      <c r="O67">
        <v>0.036535</v>
      </c>
      <c r="P67">
        <v>6</v>
      </c>
      <c r="Q67">
        <v>2.34466</v>
      </c>
      <c r="R67" s="1">
        <v>6.72864</v>
      </c>
      <c r="T67">
        <f t="shared" si="4"/>
        <v>1</v>
      </c>
      <c r="U67" s="1">
        <f t="shared" si="5"/>
        <v>0</v>
      </c>
    </row>
    <row r="68" spans="1:21">
      <c r="A68" t="s">
        <v>146</v>
      </c>
      <c r="B68">
        <v>26588</v>
      </c>
      <c r="C68">
        <v>100120</v>
      </c>
      <c r="D68">
        <v>2833</v>
      </c>
      <c r="E68">
        <v>47284</v>
      </c>
      <c r="F68">
        <v>0.011918</v>
      </c>
      <c r="G68">
        <v>10588</v>
      </c>
      <c r="H68">
        <v>0.11094</v>
      </c>
      <c r="I68">
        <v>10115</v>
      </c>
      <c r="J68">
        <v>0.543882</v>
      </c>
      <c r="K68">
        <v>270</v>
      </c>
      <c r="L68">
        <v>2</v>
      </c>
      <c r="M68">
        <v>1.28043</v>
      </c>
      <c r="N68">
        <v>11</v>
      </c>
      <c r="O68">
        <v>0.010561</v>
      </c>
      <c r="P68">
        <v>13</v>
      </c>
      <c r="Q68">
        <v>2.08917</v>
      </c>
      <c r="R68" s="1">
        <v>0.573129</v>
      </c>
      <c r="T68">
        <f t="shared" si="4"/>
        <v>0</v>
      </c>
      <c r="U68" s="1">
        <f t="shared" si="5"/>
        <v>1</v>
      </c>
    </row>
    <row r="69" spans="1:21">
      <c r="A69" t="s">
        <v>147</v>
      </c>
      <c r="B69">
        <v>22900</v>
      </c>
      <c r="C69">
        <v>852419</v>
      </c>
      <c r="D69">
        <v>15178</v>
      </c>
      <c r="E69">
        <v>753030</v>
      </c>
      <c r="F69">
        <v>0.210129</v>
      </c>
      <c r="G69">
        <v>112707</v>
      </c>
      <c r="H69">
        <v>7.00135</v>
      </c>
      <c r="I69">
        <v>112300</v>
      </c>
      <c r="J69">
        <v>1.02576</v>
      </c>
      <c r="K69">
        <v>243</v>
      </c>
      <c r="L69">
        <v>0</v>
      </c>
      <c r="M69">
        <v>-1</v>
      </c>
      <c r="N69">
        <v>28</v>
      </c>
      <c r="O69">
        <v>0.238522</v>
      </c>
      <c r="P69">
        <v>28</v>
      </c>
      <c r="Q69">
        <v>600</v>
      </c>
      <c r="R69" s="1">
        <v>600</v>
      </c>
      <c r="T69">
        <f t="shared" si="4"/>
        <v>0</v>
      </c>
      <c r="U69" s="1">
        <f t="shared" si="5"/>
        <v>0</v>
      </c>
    </row>
    <row r="70" spans="1:21">
      <c r="A70" t="s">
        <v>148</v>
      </c>
      <c r="B70">
        <v>6621</v>
      </c>
      <c r="C70">
        <v>249959</v>
      </c>
      <c r="D70">
        <v>4373</v>
      </c>
      <c r="E70">
        <v>222053</v>
      </c>
      <c r="F70">
        <v>0.036728</v>
      </c>
      <c r="G70">
        <v>62168</v>
      </c>
      <c r="H70">
        <v>1.49678</v>
      </c>
      <c r="I70">
        <v>61688</v>
      </c>
      <c r="J70">
        <v>0.763795</v>
      </c>
      <c r="K70">
        <v>344</v>
      </c>
      <c r="L70">
        <v>0</v>
      </c>
      <c r="M70">
        <v>-1</v>
      </c>
      <c r="N70">
        <v>28</v>
      </c>
      <c r="O70">
        <v>0.038861</v>
      </c>
      <c r="P70">
        <v>28</v>
      </c>
      <c r="Q70">
        <v>600</v>
      </c>
      <c r="R70" s="1">
        <v>367.803</v>
      </c>
      <c r="T70">
        <f t="shared" si="4"/>
        <v>0</v>
      </c>
      <c r="U70" s="1">
        <f t="shared" si="5"/>
        <v>1</v>
      </c>
    </row>
    <row r="71" spans="1:21">
      <c r="A71" t="s">
        <v>149</v>
      </c>
      <c r="B71">
        <v>9885</v>
      </c>
      <c r="C71">
        <v>506437</v>
      </c>
      <c r="D71">
        <v>7752</v>
      </c>
      <c r="E71">
        <v>486246</v>
      </c>
      <c r="F71">
        <v>0.128154</v>
      </c>
      <c r="G71">
        <v>205992</v>
      </c>
      <c r="H71">
        <v>4.27791</v>
      </c>
      <c r="I71">
        <v>205508</v>
      </c>
      <c r="J71">
        <v>0.613309</v>
      </c>
      <c r="K71">
        <v>139</v>
      </c>
      <c r="L71">
        <v>0</v>
      </c>
      <c r="M71">
        <v>-1</v>
      </c>
      <c r="N71">
        <v>24</v>
      </c>
      <c r="O71">
        <v>0.155926</v>
      </c>
      <c r="P71">
        <v>24</v>
      </c>
      <c r="Q71">
        <v>600</v>
      </c>
      <c r="R71" s="1">
        <v>600</v>
      </c>
      <c r="T71">
        <f t="shared" si="4"/>
        <v>0</v>
      </c>
      <c r="U71" s="1">
        <f t="shared" si="5"/>
        <v>0</v>
      </c>
    </row>
    <row r="72" spans="1:21">
      <c r="A72" t="s">
        <v>150</v>
      </c>
      <c r="B72">
        <v>6402</v>
      </c>
      <c r="C72">
        <v>251230</v>
      </c>
      <c r="D72">
        <v>4444</v>
      </c>
      <c r="E72">
        <v>232626</v>
      </c>
      <c r="F72">
        <v>0.044383</v>
      </c>
      <c r="G72">
        <v>85974</v>
      </c>
      <c r="H72">
        <v>1.73445</v>
      </c>
      <c r="I72">
        <v>85527</v>
      </c>
      <c r="J72">
        <v>0.537564</v>
      </c>
      <c r="K72">
        <v>531</v>
      </c>
      <c r="L72">
        <v>18</v>
      </c>
      <c r="M72">
        <v>242.308</v>
      </c>
      <c r="N72">
        <v>25</v>
      </c>
      <c r="O72">
        <v>0.043603</v>
      </c>
      <c r="P72">
        <v>29</v>
      </c>
      <c r="Q72">
        <v>245.425</v>
      </c>
      <c r="R72" s="1">
        <v>384.696</v>
      </c>
      <c r="T72">
        <f t="shared" si="4"/>
        <v>1</v>
      </c>
      <c r="U72" s="1">
        <f t="shared" si="5"/>
        <v>0</v>
      </c>
    </row>
    <row r="73" spans="1:21">
      <c r="A73" t="s">
        <v>151</v>
      </c>
      <c r="B73">
        <v>63392</v>
      </c>
      <c r="C73">
        <v>816886</v>
      </c>
      <c r="D73">
        <v>19915</v>
      </c>
      <c r="E73">
        <v>575419</v>
      </c>
      <c r="F73">
        <v>0.119336</v>
      </c>
      <c r="G73">
        <v>163944</v>
      </c>
      <c r="H73">
        <v>2.25376</v>
      </c>
      <c r="I73">
        <v>163500</v>
      </c>
      <c r="J73">
        <v>0.345648</v>
      </c>
      <c r="K73">
        <v>195</v>
      </c>
      <c r="L73">
        <v>0</v>
      </c>
      <c r="M73">
        <v>-1</v>
      </c>
      <c r="N73">
        <v>17</v>
      </c>
      <c r="O73">
        <v>0.144067</v>
      </c>
      <c r="P73">
        <v>17</v>
      </c>
      <c r="Q73">
        <v>600</v>
      </c>
      <c r="R73" s="1">
        <v>600</v>
      </c>
      <c r="T73">
        <f t="shared" si="4"/>
        <v>0</v>
      </c>
      <c r="U73" s="1">
        <f t="shared" si="5"/>
        <v>0</v>
      </c>
    </row>
    <row r="74" spans="1:21">
      <c r="A74" t="s">
        <v>152</v>
      </c>
      <c r="B74">
        <v>11586</v>
      </c>
      <c r="C74">
        <v>568309</v>
      </c>
      <c r="D74">
        <v>7630</v>
      </c>
      <c r="E74">
        <v>528147</v>
      </c>
      <c r="F74">
        <v>0.104454</v>
      </c>
      <c r="G74">
        <v>194090</v>
      </c>
      <c r="H74">
        <v>4.95636</v>
      </c>
      <c r="I74">
        <v>193582</v>
      </c>
      <c r="J74">
        <v>0.718815</v>
      </c>
      <c r="K74">
        <v>127</v>
      </c>
      <c r="L74">
        <v>0</v>
      </c>
      <c r="M74">
        <v>-1</v>
      </c>
      <c r="N74">
        <v>28</v>
      </c>
      <c r="O74">
        <v>0.129013</v>
      </c>
      <c r="P74">
        <v>28</v>
      </c>
      <c r="Q74">
        <v>600</v>
      </c>
      <c r="R74" s="1">
        <v>600</v>
      </c>
      <c r="T74">
        <f t="shared" si="4"/>
        <v>0</v>
      </c>
      <c r="U74" s="1">
        <f t="shared" si="5"/>
        <v>0</v>
      </c>
    </row>
    <row r="75" spans="1:21">
      <c r="A75" t="s">
        <v>153</v>
      </c>
      <c r="B75">
        <v>20453</v>
      </c>
      <c r="C75">
        <v>747604</v>
      </c>
      <c r="D75">
        <v>12158</v>
      </c>
      <c r="E75">
        <v>638012</v>
      </c>
      <c r="F75">
        <v>0.144123</v>
      </c>
      <c r="G75">
        <v>97646</v>
      </c>
      <c r="H75">
        <v>5.3543</v>
      </c>
      <c r="I75">
        <v>97216</v>
      </c>
      <c r="J75">
        <v>1.19148</v>
      </c>
      <c r="K75">
        <v>228</v>
      </c>
      <c r="L75">
        <v>0</v>
      </c>
      <c r="M75">
        <v>-1</v>
      </c>
      <c r="N75">
        <v>31</v>
      </c>
      <c r="O75">
        <v>0.172283</v>
      </c>
      <c r="P75">
        <v>31</v>
      </c>
      <c r="Q75">
        <v>600</v>
      </c>
      <c r="R75" s="1">
        <v>600</v>
      </c>
      <c r="T75">
        <f t="shared" si="4"/>
        <v>0</v>
      </c>
      <c r="U75" s="1">
        <f t="shared" si="5"/>
        <v>0</v>
      </c>
    </row>
    <row r="76" spans="1:21">
      <c r="A76" t="s">
        <v>154</v>
      </c>
      <c r="B76">
        <v>17206</v>
      </c>
      <c r="C76">
        <v>604867</v>
      </c>
      <c r="D76">
        <v>11698</v>
      </c>
      <c r="E76">
        <v>525842</v>
      </c>
      <c r="F76">
        <v>0.143599</v>
      </c>
      <c r="G76">
        <v>56021</v>
      </c>
      <c r="H76">
        <v>4.48252</v>
      </c>
      <c r="I76">
        <v>55611</v>
      </c>
      <c r="J76">
        <v>1.75373</v>
      </c>
      <c r="K76">
        <v>307</v>
      </c>
      <c r="L76">
        <v>0</v>
      </c>
      <c r="M76">
        <v>-1</v>
      </c>
      <c r="N76">
        <v>29</v>
      </c>
      <c r="O76">
        <v>0.153002</v>
      </c>
      <c r="P76">
        <v>29</v>
      </c>
      <c r="Q76">
        <v>600</v>
      </c>
      <c r="R76" s="1">
        <v>600</v>
      </c>
      <c r="T76">
        <f t="shared" si="4"/>
        <v>0</v>
      </c>
      <c r="U76" s="1">
        <f t="shared" si="5"/>
        <v>0</v>
      </c>
    </row>
    <row r="77" spans="1:21">
      <c r="A77" t="s">
        <v>155</v>
      </c>
      <c r="B77">
        <v>14917</v>
      </c>
      <c r="C77">
        <v>482215</v>
      </c>
      <c r="D77">
        <v>7863</v>
      </c>
      <c r="E77">
        <v>363976</v>
      </c>
      <c r="F77">
        <v>0.063605</v>
      </c>
      <c r="G77">
        <v>33502</v>
      </c>
      <c r="H77">
        <v>2.0105</v>
      </c>
      <c r="I77">
        <v>33317</v>
      </c>
      <c r="J77">
        <v>2.53954</v>
      </c>
      <c r="K77">
        <v>1707</v>
      </c>
      <c r="L77">
        <v>128</v>
      </c>
      <c r="M77">
        <v>240.658</v>
      </c>
      <c r="N77">
        <v>36</v>
      </c>
      <c r="O77">
        <v>0.075363</v>
      </c>
      <c r="P77">
        <v>39</v>
      </c>
      <c r="Q77">
        <v>245.819</v>
      </c>
      <c r="R77" s="1">
        <v>600</v>
      </c>
      <c r="T77">
        <f t="shared" si="4"/>
        <v>1</v>
      </c>
      <c r="U77" s="1">
        <f t="shared" si="5"/>
        <v>0</v>
      </c>
    </row>
    <row r="78" spans="1:21">
      <c r="A78" t="s">
        <v>156</v>
      </c>
      <c r="B78">
        <v>23831</v>
      </c>
      <c r="C78">
        <v>835946</v>
      </c>
      <c r="D78">
        <v>17487</v>
      </c>
      <c r="E78">
        <v>763105</v>
      </c>
      <c r="F78">
        <v>0.138246</v>
      </c>
      <c r="G78">
        <v>133328</v>
      </c>
      <c r="H78">
        <v>4.567</v>
      </c>
      <c r="I78">
        <v>132912</v>
      </c>
      <c r="J78">
        <v>0.669051</v>
      </c>
      <c r="K78">
        <v>224</v>
      </c>
      <c r="L78">
        <v>0</v>
      </c>
      <c r="M78">
        <v>-1</v>
      </c>
      <c r="N78">
        <v>24</v>
      </c>
      <c r="O78">
        <v>0.151104</v>
      </c>
      <c r="P78">
        <v>24</v>
      </c>
      <c r="Q78">
        <v>600</v>
      </c>
      <c r="R78" s="1">
        <v>600</v>
      </c>
      <c r="T78">
        <f t="shared" si="4"/>
        <v>0</v>
      </c>
      <c r="U78" s="1">
        <f t="shared" si="5"/>
        <v>0</v>
      </c>
    </row>
    <row r="79" spans="1:21">
      <c r="A79" t="s">
        <v>157</v>
      </c>
      <c r="B79">
        <v>196591</v>
      </c>
      <c r="C79">
        <v>950327</v>
      </c>
      <c r="D79">
        <v>18517</v>
      </c>
      <c r="E79">
        <v>379045</v>
      </c>
      <c r="F79">
        <v>0.128848</v>
      </c>
      <c r="G79">
        <v>110524</v>
      </c>
      <c r="H79">
        <v>1.93572</v>
      </c>
      <c r="I79">
        <v>110066</v>
      </c>
      <c r="J79">
        <v>0.352656</v>
      </c>
      <c r="K79">
        <v>187</v>
      </c>
      <c r="L79">
        <v>0</v>
      </c>
      <c r="M79">
        <v>-1</v>
      </c>
      <c r="N79">
        <v>13</v>
      </c>
      <c r="O79">
        <v>0.214619</v>
      </c>
      <c r="P79">
        <v>13</v>
      </c>
      <c r="Q79">
        <v>600</v>
      </c>
      <c r="R79" s="1">
        <v>600</v>
      </c>
      <c r="T79">
        <f t="shared" si="4"/>
        <v>0</v>
      </c>
      <c r="U79" s="1">
        <f t="shared" si="5"/>
        <v>0</v>
      </c>
    </row>
    <row r="80" spans="1:21">
      <c r="A80" t="s">
        <v>158</v>
      </c>
      <c r="B80">
        <v>34</v>
      </c>
      <c r="C80">
        <v>78</v>
      </c>
      <c r="D80">
        <v>13</v>
      </c>
      <c r="E80">
        <v>33</v>
      </c>
      <c r="F80" s="3" t="s">
        <v>83</v>
      </c>
      <c r="G80">
        <v>14</v>
      </c>
      <c r="H80" s="3" t="s">
        <v>159</v>
      </c>
      <c r="I80">
        <v>14</v>
      </c>
      <c r="J80">
        <v>0.002293</v>
      </c>
      <c r="K80">
        <v>7</v>
      </c>
      <c r="L80">
        <v>0</v>
      </c>
      <c r="M80">
        <v>0.005271</v>
      </c>
      <c r="N80">
        <v>4</v>
      </c>
      <c r="O80" s="3" t="s">
        <v>108</v>
      </c>
      <c r="P80">
        <v>4</v>
      </c>
      <c r="Q80">
        <v>0.021639</v>
      </c>
      <c r="R80" s="1">
        <v>0.018636</v>
      </c>
      <c r="T80">
        <f t="shared" si="4"/>
        <v>0</v>
      </c>
      <c r="U80" s="1">
        <f t="shared" si="5"/>
        <v>1</v>
      </c>
    </row>
    <row r="81" spans="1:21">
      <c r="A81" t="s">
        <v>160</v>
      </c>
      <c r="B81">
        <v>70068</v>
      </c>
      <c r="C81">
        <v>358647</v>
      </c>
      <c r="D81">
        <v>14033</v>
      </c>
      <c r="E81">
        <v>238865</v>
      </c>
      <c r="F81">
        <v>0.047103</v>
      </c>
      <c r="G81">
        <v>29679</v>
      </c>
      <c r="H81">
        <v>0.543902</v>
      </c>
      <c r="I81">
        <v>29400</v>
      </c>
      <c r="J81">
        <v>0.296431</v>
      </c>
      <c r="K81">
        <v>564</v>
      </c>
      <c r="L81">
        <v>0</v>
      </c>
      <c r="M81">
        <v>-1</v>
      </c>
      <c r="N81">
        <v>8</v>
      </c>
      <c r="O81">
        <v>0.049662</v>
      </c>
      <c r="P81">
        <v>8</v>
      </c>
      <c r="Q81">
        <v>600</v>
      </c>
      <c r="R81" s="1">
        <v>600</v>
      </c>
      <c r="T81">
        <f t="shared" si="4"/>
        <v>0</v>
      </c>
      <c r="U81" s="1">
        <f t="shared" si="5"/>
        <v>0</v>
      </c>
    </row>
    <row r="82" spans="1:21">
      <c r="A82" t="s">
        <v>161</v>
      </c>
      <c r="B82">
        <v>404719</v>
      </c>
      <c r="C82">
        <v>713319</v>
      </c>
      <c r="D82">
        <v>46489</v>
      </c>
      <c r="E82">
        <v>304864</v>
      </c>
      <c r="F82">
        <v>0.100052</v>
      </c>
      <c r="G82">
        <v>8866</v>
      </c>
      <c r="H82">
        <v>0.496187</v>
      </c>
      <c r="I82">
        <v>8482</v>
      </c>
      <c r="J82">
        <v>0.081551</v>
      </c>
      <c r="K82">
        <v>602</v>
      </c>
      <c r="L82">
        <v>68</v>
      </c>
      <c r="M82">
        <v>8.75843</v>
      </c>
      <c r="N82">
        <v>3</v>
      </c>
      <c r="O82">
        <v>0.099935</v>
      </c>
      <c r="P82">
        <v>4</v>
      </c>
      <c r="Q82">
        <v>9.9176</v>
      </c>
      <c r="R82" s="1">
        <v>4.82055</v>
      </c>
      <c r="T82">
        <f t="shared" si="4"/>
        <v>0</v>
      </c>
      <c r="U82" s="1">
        <f t="shared" si="5"/>
        <v>1</v>
      </c>
    </row>
    <row r="83" spans="1:21">
      <c r="A83" t="s">
        <v>162</v>
      </c>
      <c r="B83">
        <v>889</v>
      </c>
      <c r="C83">
        <v>2914</v>
      </c>
      <c r="D83">
        <v>235</v>
      </c>
      <c r="E83">
        <v>1369</v>
      </c>
      <c r="F83">
        <v>0.00022</v>
      </c>
      <c r="G83">
        <v>147</v>
      </c>
      <c r="H83">
        <v>0.000909</v>
      </c>
      <c r="I83">
        <v>21</v>
      </c>
      <c r="J83">
        <v>0.011609</v>
      </c>
      <c r="K83">
        <v>22</v>
      </c>
      <c r="L83">
        <v>0</v>
      </c>
      <c r="M83">
        <v>0.004041</v>
      </c>
      <c r="N83">
        <v>6</v>
      </c>
      <c r="O83">
        <v>0.000177</v>
      </c>
      <c r="P83">
        <v>6</v>
      </c>
      <c r="Q83">
        <v>0.02377</v>
      </c>
      <c r="R83" s="1">
        <v>0.017727</v>
      </c>
      <c r="T83">
        <f t="shared" si="4"/>
        <v>0</v>
      </c>
      <c r="U83" s="1">
        <f t="shared" si="5"/>
        <v>1</v>
      </c>
    </row>
    <row r="84" spans="1:21">
      <c r="A84" t="s">
        <v>163</v>
      </c>
      <c r="B84">
        <v>26475</v>
      </c>
      <c r="C84">
        <v>53381</v>
      </c>
      <c r="D84">
        <v>270</v>
      </c>
      <c r="E84">
        <v>3715</v>
      </c>
      <c r="F84">
        <v>0.00212</v>
      </c>
      <c r="G84">
        <v>1433</v>
      </c>
      <c r="H84">
        <v>0.010676</v>
      </c>
      <c r="I84">
        <v>1094</v>
      </c>
      <c r="J84">
        <v>0.211214</v>
      </c>
      <c r="K84">
        <v>570</v>
      </c>
      <c r="L84">
        <v>34</v>
      </c>
      <c r="M84">
        <v>0.446738</v>
      </c>
      <c r="N84">
        <v>10</v>
      </c>
      <c r="O84">
        <v>0.005181</v>
      </c>
      <c r="P84">
        <v>10</v>
      </c>
      <c r="Q84">
        <v>0.729243</v>
      </c>
      <c r="R84" s="1">
        <v>0.394483</v>
      </c>
      <c r="T84">
        <f t="shared" si="4"/>
        <v>0</v>
      </c>
      <c r="U84" s="1">
        <f t="shared" si="5"/>
        <v>1</v>
      </c>
    </row>
    <row r="85" spans="1:21">
      <c r="A85" t="s">
        <v>164</v>
      </c>
      <c r="B85">
        <v>40164</v>
      </c>
      <c r="C85">
        <v>85123</v>
      </c>
      <c r="D85">
        <v>951</v>
      </c>
      <c r="E85">
        <v>10372</v>
      </c>
      <c r="F85">
        <v>0.003778</v>
      </c>
      <c r="G85">
        <v>4064</v>
      </c>
      <c r="H85">
        <v>0.025887</v>
      </c>
      <c r="I85">
        <v>3739</v>
      </c>
      <c r="J85">
        <v>0.188351</v>
      </c>
      <c r="K85">
        <v>933</v>
      </c>
      <c r="L85">
        <v>29</v>
      </c>
      <c r="M85">
        <v>3.88382</v>
      </c>
      <c r="N85">
        <v>8</v>
      </c>
      <c r="O85">
        <v>0.006512</v>
      </c>
      <c r="P85">
        <v>10</v>
      </c>
      <c r="Q85">
        <v>4.31235</v>
      </c>
      <c r="R85" s="1">
        <v>0.935904</v>
      </c>
      <c r="T85">
        <f t="shared" si="4"/>
        <v>0</v>
      </c>
      <c r="U85" s="1">
        <f t="shared" si="5"/>
        <v>1</v>
      </c>
    </row>
    <row r="86" spans="1:21">
      <c r="A86" t="s">
        <v>165</v>
      </c>
      <c r="B86">
        <v>62561</v>
      </c>
      <c r="C86">
        <v>147878</v>
      </c>
      <c r="D86">
        <v>24443</v>
      </c>
      <c r="E86">
        <v>100454</v>
      </c>
      <c r="F86">
        <v>0.029996</v>
      </c>
      <c r="G86">
        <v>379</v>
      </c>
      <c r="H86">
        <v>0.047155</v>
      </c>
      <c r="I86">
        <v>90</v>
      </c>
      <c r="J86">
        <v>0.141558</v>
      </c>
      <c r="K86">
        <v>95</v>
      </c>
      <c r="L86">
        <v>0</v>
      </c>
      <c r="M86">
        <v>0.005981</v>
      </c>
      <c r="N86">
        <v>3</v>
      </c>
      <c r="O86">
        <v>0.022455</v>
      </c>
      <c r="P86">
        <v>3</v>
      </c>
      <c r="Q86">
        <v>0.335056</v>
      </c>
      <c r="R86" s="1">
        <v>0.153693</v>
      </c>
      <c r="T86">
        <f t="shared" si="4"/>
        <v>0</v>
      </c>
      <c r="U86" s="1">
        <f t="shared" si="5"/>
        <v>1</v>
      </c>
    </row>
    <row r="87" spans="1:21">
      <c r="A87" t="s">
        <v>166</v>
      </c>
      <c r="B87">
        <v>190914</v>
      </c>
      <c r="C87">
        <v>607610</v>
      </c>
      <c r="D87">
        <v>18240</v>
      </c>
      <c r="E87">
        <v>194600</v>
      </c>
      <c r="F87">
        <v>0.062178</v>
      </c>
      <c r="G87">
        <v>22122</v>
      </c>
      <c r="H87">
        <v>0.293852</v>
      </c>
      <c r="I87">
        <v>21791</v>
      </c>
      <c r="J87">
        <v>0.163388</v>
      </c>
      <c r="K87">
        <v>1568</v>
      </c>
      <c r="L87">
        <v>113</v>
      </c>
      <c r="M87">
        <v>-1</v>
      </c>
      <c r="N87">
        <v>8</v>
      </c>
      <c r="O87">
        <v>0.097826</v>
      </c>
      <c r="P87">
        <v>8</v>
      </c>
      <c r="Q87">
        <v>600</v>
      </c>
      <c r="R87" s="1">
        <v>600</v>
      </c>
      <c r="T87">
        <f t="shared" si="4"/>
        <v>0</v>
      </c>
      <c r="U87" s="1">
        <f t="shared" si="5"/>
        <v>0</v>
      </c>
    </row>
    <row r="88" spans="1:21">
      <c r="A88" t="s">
        <v>167</v>
      </c>
      <c r="B88">
        <v>2113</v>
      </c>
      <c r="C88">
        <v>6632</v>
      </c>
      <c r="D88">
        <v>24</v>
      </c>
      <c r="E88">
        <v>238</v>
      </c>
      <c r="F88">
        <v>0.000141</v>
      </c>
      <c r="G88">
        <v>194</v>
      </c>
      <c r="H88">
        <v>0.000278</v>
      </c>
      <c r="I88">
        <v>194</v>
      </c>
      <c r="J88">
        <v>0.008042</v>
      </c>
      <c r="K88">
        <v>18</v>
      </c>
      <c r="L88">
        <v>0</v>
      </c>
      <c r="M88">
        <v>0.004959</v>
      </c>
      <c r="N88">
        <v>15</v>
      </c>
      <c r="O88">
        <v>0.000501</v>
      </c>
      <c r="P88">
        <v>15</v>
      </c>
      <c r="Q88">
        <v>0.020619</v>
      </c>
      <c r="R88" s="1">
        <v>0.019352</v>
      </c>
      <c r="T88">
        <f t="shared" si="4"/>
        <v>0</v>
      </c>
      <c r="U88" s="1">
        <f t="shared" si="5"/>
        <v>1</v>
      </c>
    </row>
    <row r="89" spans="1:21">
      <c r="A89" t="s">
        <v>168</v>
      </c>
      <c r="B89">
        <v>7476</v>
      </c>
      <c r="C89">
        <v>56943</v>
      </c>
      <c r="D89">
        <v>604</v>
      </c>
      <c r="E89">
        <v>28664</v>
      </c>
      <c r="F89">
        <v>0.005754</v>
      </c>
      <c r="G89">
        <v>21287</v>
      </c>
      <c r="H89">
        <v>0.312428</v>
      </c>
      <c r="I89">
        <v>21206</v>
      </c>
      <c r="J89">
        <v>4.72612</v>
      </c>
      <c r="K89">
        <v>2678</v>
      </c>
      <c r="L89">
        <v>34</v>
      </c>
      <c r="M89">
        <v>41.0828</v>
      </c>
      <c r="N89">
        <v>31</v>
      </c>
      <c r="O89">
        <v>0.008955</v>
      </c>
      <c r="P89">
        <v>52</v>
      </c>
      <c r="Q89">
        <v>46.4279</v>
      </c>
      <c r="R89" s="1">
        <v>9.1494</v>
      </c>
      <c r="T89">
        <f t="shared" si="4"/>
        <v>0</v>
      </c>
      <c r="U89" s="1">
        <f t="shared" si="5"/>
        <v>1</v>
      </c>
    </row>
    <row r="90" spans="1:21">
      <c r="A90" t="s">
        <v>169</v>
      </c>
      <c r="B90">
        <v>3031</v>
      </c>
      <c r="C90">
        <v>6474</v>
      </c>
      <c r="D90">
        <v>30</v>
      </c>
      <c r="E90">
        <v>435</v>
      </c>
      <c r="F90">
        <v>0.000133</v>
      </c>
      <c r="G90">
        <v>435</v>
      </c>
      <c r="H90">
        <v>0.000712</v>
      </c>
      <c r="I90">
        <v>435</v>
      </c>
      <c r="J90" s="3" t="s">
        <v>121</v>
      </c>
      <c r="K90">
        <v>2</v>
      </c>
      <c r="L90">
        <v>0</v>
      </c>
      <c r="M90">
        <v>0.012193</v>
      </c>
      <c r="N90">
        <v>28</v>
      </c>
      <c r="O90">
        <v>0.000282</v>
      </c>
      <c r="P90">
        <v>29</v>
      </c>
      <c r="Q90">
        <v>0.022299</v>
      </c>
      <c r="R90" s="1">
        <v>0.06098</v>
      </c>
      <c r="T90">
        <f t="shared" si="4"/>
        <v>1</v>
      </c>
      <c r="U90" s="1">
        <f t="shared" si="5"/>
        <v>0</v>
      </c>
    </row>
    <row r="91" spans="1:21">
      <c r="A91" t="s">
        <v>170</v>
      </c>
      <c r="B91">
        <v>1299</v>
      </c>
      <c r="C91">
        <v>2773</v>
      </c>
      <c r="D91">
        <v>19</v>
      </c>
      <c r="E91">
        <v>170</v>
      </c>
      <c r="F91" s="3" t="s">
        <v>171</v>
      </c>
      <c r="G91">
        <v>170</v>
      </c>
      <c r="H91">
        <v>0.000308</v>
      </c>
      <c r="I91">
        <v>170</v>
      </c>
      <c r="J91" s="3" t="s">
        <v>107</v>
      </c>
      <c r="K91">
        <v>1</v>
      </c>
      <c r="L91">
        <v>0</v>
      </c>
      <c r="M91">
        <v>0.008356</v>
      </c>
      <c r="N91">
        <v>17</v>
      </c>
      <c r="O91">
        <v>0.000272</v>
      </c>
      <c r="P91">
        <v>17</v>
      </c>
      <c r="Q91">
        <v>0.019156</v>
      </c>
      <c r="R91" s="1">
        <v>0.011991</v>
      </c>
      <c r="T91">
        <f t="shared" si="4"/>
        <v>0</v>
      </c>
      <c r="U91" s="1">
        <f t="shared" si="5"/>
        <v>1</v>
      </c>
    </row>
    <row r="92" spans="1:21">
      <c r="A92" t="s">
        <v>172</v>
      </c>
      <c r="B92">
        <v>11358</v>
      </c>
      <c r="C92">
        <v>47606</v>
      </c>
      <c r="D92">
        <v>50</v>
      </c>
      <c r="E92">
        <v>1225</v>
      </c>
      <c r="F92">
        <v>0.000914</v>
      </c>
      <c r="G92">
        <v>1225</v>
      </c>
      <c r="H92">
        <v>0.006777</v>
      </c>
      <c r="I92">
        <v>1225</v>
      </c>
      <c r="J92" s="3" t="s">
        <v>173</v>
      </c>
      <c r="K92">
        <v>24</v>
      </c>
      <c r="L92">
        <v>11</v>
      </c>
      <c r="M92">
        <v>0.285789</v>
      </c>
      <c r="N92">
        <v>45</v>
      </c>
      <c r="O92">
        <v>0.003757</v>
      </c>
      <c r="P92">
        <v>45</v>
      </c>
      <c r="Q92">
        <v>0.419674</v>
      </c>
      <c r="R92" s="1">
        <v>0.071836</v>
      </c>
      <c r="T92">
        <f t="shared" si="4"/>
        <v>0</v>
      </c>
      <c r="U92" s="1">
        <f t="shared" si="5"/>
        <v>1</v>
      </c>
    </row>
    <row r="93" spans="1:21">
      <c r="A93" t="s">
        <v>174</v>
      </c>
      <c r="B93">
        <v>643</v>
      </c>
      <c r="C93">
        <v>2280</v>
      </c>
      <c r="D93">
        <v>115</v>
      </c>
      <c r="E93">
        <v>869</v>
      </c>
      <c r="F93">
        <v>0.000153</v>
      </c>
      <c r="G93">
        <v>223</v>
      </c>
      <c r="H93">
        <v>0.000885</v>
      </c>
      <c r="I93">
        <v>133</v>
      </c>
      <c r="J93">
        <v>0.05721</v>
      </c>
      <c r="K93">
        <v>120</v>
      </c>
      <c r="L93">
        <v>0</v>
      </c>
      <c r="M93">
        <v>0.010123</v>
      </c>
      <c r="N93">
        <v>8</v>
      </c>
      <c r="O93">
        <v>0.000137</v>
      </c>
      <c r="P93">
        <v>8</v>
      </c>
      <c r="Q93">
        <v>0.075972</v>
      </c>
      <c r="R93" s="1">
        <v>0.052342</v>
      </c>
      <c r="T93">
        <f t="shared" si="4"/>
        <v>0</v>
      </c>
      <c r="U93" s="1">
        <f t="shared" si="5"/>
        <v>1</v>
      </c>
    </row>
    <row r="94" spans="1:21">
      <c r="A94" t="s">
        <v>175</v>
      </c>
      <c r="B94">
        <v>121422</v>
      </c>
      <c r="C94">
        <v>334419</v>
      </c>
      <c r="D94">
        <v>324</v>
      </c>
      <c r="E94">
        <v>12980</v>
      </c>
      <c r="F94">
        <v>0.006588</v>
      </c>
      <c r="G94">
        <v>12980</v>
      </c>
      <c r="H94">
        <v>0.066591</v>
      </c>
      <c r="I94">
        <v>12980</v>
      </c>
      <c r="J94">
        <v>5.71995</v>
      </c>
      <c r="K94">
        <v>1360</v>
      </c>
      <c r="L94">
        <v>60</v>
      </c>
      <c r="M94">
        <v>20.007</v>
      </c>
      <c r="N94">
        <v>71</v>
      </c>
      <c r="O94">
        <v>0.032087</v>
      </c>
      <c r="P94">
        <v>72</v>
      </c>
      <c r="Q94">
        <v>26.3961</v>
      </c>
      <c r="R94" s="1">
        <v>64.5745</v>
      </c>
      <c r="T94">
        <f t="shared" si="4"/>
        <v>1</v>
      </c>
      <c r="U94" s="1">
        <f t="shared" si="5"/>
        <v>0</v>
      </c>
    </row>
    <row r="95" spans="1:21">
      <c r="A95" t="s">
        <v>176</v>
      </c>
      <c r="B95">
        <v>4767</v>
      </c>
      <c r="C95">
        <v>37375</v>
      </c>
      <c r="D95">
        <v>1249</v>
      </c>
      <c r="E95">
        <v>23323</v>
      </c>
      <c r="F95">
        <v>0.003816</v>
      </c>
      <c r="G95">
        <v>6347</v>
      </c>
      <c r="H95">
        <v>0.060875</v>
      </c>
      <c r="I95">
        <v>5938</v>
      </c>
      <c r="J95">
        <v>0.32702</v>
      </c>
      <c r="K95">
        <v>586</v>
      </c>
      <c r="L95">
        <v>2</v>
      </c>
      <c r="M95">
        <v>0.290203</v>
      </c>
      <c r="N95">
        <v>13</v>
      </c>
      <c r="O95">
        <v>0.00307</v>
      </c>
      <c r="P95">
        <v>17</v>
      </c>
      <c r="Q95">
        <v>0.715379</v>
      </c>
      <c r="R95" s="1">
        <v>0.310907</v>
      </c>
      <c r="T95">
        <f t="shared" si="4"/>
        <v>0</v>
      </c>
      <c r="U95" s="1">
        <f t="shared" si="5"/>
        <v>1</v>
      </c>
    </row>
    <row r="96" spans="1:21">
      <c r="A96" t="s">
        <v>177</v>
      </c>
      <c r="B96">
        <v>16062</v>
      </c>
      <c r="C96">
        <v>25593</v>
      </c>
      <c r="D96">
        <v>33</v>
      </c>
      <c r="E96">
        <v>528</v>
      </c>
      <c r="F96">
        <v>0.000704</v>
      </c>
      <c r="G96">
        <v>528</v>
      </c>
      <c r="H96">
        <v>0.002071</v>
      </c>
      <c r="I96">
        <v>528</v>
      </c>
      <c r="J96" s="3" t="s">
        <v>42</v>
      </c>
      <c r="K96">
        <v>4</v>
      </c>
      <c r="L96">
        <v>1</v>
      </c>
      <c r="M96">
        <v>0.016572</v>
      </c>
      <c r="N96">
        <v>30</v>
      </c>
      <c r="O96">
        <v>0.002854</v>
      </c>
      <c r="P96">
        <v>30</v>
      </c>
      <c r="Q96">
        <v>0.044707</v>
      </c>
      <c r="R96" s="1">
        <v>0.021782</v>
      </c>
      <c r="T96">
        <f t="shared" si="4"/>
        <v>0</v>
      </c>
      <c r="U96" s="1">
        <f t="shared" si="5"/>
        <v>1</v>
      </c>
    </row>
    <row r="97" spans="20:21">
      <c r="T97">
        <f>COUNTIF(T2:T96,"=1")</f>
        <v>20</v>
      </c>
      <c r="U97">
        <f>COUNTIF(U2:U96,"=1")</f>
        <v>58</v>
      </c>
    </row>
  </sheetData>
  <sortState ref="A2:Q97">
    <sortCondition ref="A2"/>
  </sortState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"/>
  <sheetViews>
    <sheetView topLeftCell="K58" workbookViewId="0">
      <selection activeCell="R1" sqref="R$1:R$1048576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18" max="18" width="9.54545454545454" style="1" customWidth="1"/>
    <col min="20" max="21" width="9"/>
    <col min="23" max="23" width="4.27272727272727" style="1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/>
      <c r="T1" s="2"/>
      <c r="U1" s="2"/>
    </row>
    <row r="2" spans="1:21">
      <c r="A2" t="s">
        <v>47</v>
      </c>
      <c r="B2">
        <v>453</v>
      </c>
      <c r="C2">
        <v>2025</v>
      </c>
      <c r="D2">
        <v>111</v>
      </c>
      <c r="E2">
        <v>759</v>
      </c>
      <c r="F2">
        <v>0.000218</v>
      </c>
      <c r="G2">
        <v>254</v>
      </c>
      <c r="H2">
        <v>0.000968</v>
      </c>
      <c r="I2">
        <v>219</v>
      </c>
      <c r="J2">
        <v>0.074485</v>
      </c>
      <c r="K2">
        <v>296</v>
      </c>
      <c r="L2">
        <v>0</v>
      </c>
      <c r="M2">
        <v>0.014156</v>
      </c>
      <c r="N2">
        <v>7</v>
      </c>
      <c r="O2">
        <v>0.000233</v>
      </c>
      <c r="P2">
        <v>8</v>
      </c>
      <c r="Q2">
        <v>0.115876</v>
      </c>
      <c r="R2" s="1">
        <v>0.074479</v>
      </c>
      <c r="T2">
        <f>IF(Q2&lt;R2,1,0)</f>
        <v>0</v>
      </c>
      <c r="U2" s="1">
        <f t="shared" ref="U2:U65" si="0">IF(R2&lt;Q2,1,0)</f>
        <v>1</v>
      </c>
    </row>
    <row r="3" spans="1:21">
      <c r="A3" t="s">
        <v>48</v>
      </c>
      <c r="B3">
        <v>516</v>
      </c>
      <c r="C3">
        <v>1188</v>
      </c>
      <c r="D3">
        <v>11</v>
      </c>
      <c r="E3">
        <v>55</v>
      </c>
      <c r="F3" s="3" t="s">
        <v>178</v>
      </c>
      <c r="G3">
        <v>55</v>
      </c>
      <c r="H3" s="3" t="s">
        <v>179</v>
      </c>
      <c r="I3">
        <v>55</v>
      </c>
      <c r="J3" s="3" t="s">
        <v>69</v>
      </c>
      <c r="K3">
        <v>1</v>
      </c>
      <c r="L3">
        <v>0</v>
      </c>
      <c r="M3">
        <v>0.006815</v>
      </c>
      <c r="N3">
        <v>10</v>
      </c>
      <c r="O3">
        <v>0.000125</v>
      </c>
      <c r="P3">
        <v>10</v>
      </c>
      <c r="Q3">
        <v>0.02044</v>
      </c>
      <c r="R3" s="1">
        <v>0.007653</v>
      </c>
      <c r="T3">
        <f t="shared" ref="T2:T65" si="1">IF(Q3&lt;R3,1,0)</f>
        <v>0</v>
      </c>
      <c r="U3" s="1">
        <f t="shared" si="0"/>
        <v>1</v>
      </c>
    </row>
    <row r="4" spans="1:21">
      <c r="A4" t="s">
        <v>53</v>
      </c>
      <c r="B4">
        <v>7393</v>
      </c>
      <c r="C4">
        <v>25569</v>
      </c>
      <c r="D4">
        <v>3073</v>
      </c>
      <c r="E4">
        <v>18419</v>
      </c>
      <c r="F4">
        <v>0.004506</v>
      </c>
      <c r="G4">
        <v>543</v>
      </c>
      <c r="H4">
        <v>0.015394</v>
      </c>
      <c r="I4">
        <v>175</v>
      </c>
      <c r="J4">
        <v>0.072819</v>
      </c>
      <c r="K4">
        <v>184</v>
      </c>
      <c r="L4">
        <v>2</v>
      </c>
      <c r="M4">
        <v>0.014282</v>
      </c>
      <c r="N4">
        <v>4</v>
      </c>
      <c r="O4">
        <v>0.002984</v>
      </c>
      <c r="P4">
        <v>4</v>
      </c>
      <c r="Q4">
        <v>0.136552</v>
      </c>
      <c r="R4" s="1">
        <v>0.087399</v>
      </c>
      <c r="T4">
        <f t="shared" si="1"/>
        <v>0</v>
      </c>
      <c r="U4" s="1">
        <f t="shared" si="0"/>
        <v>1</v>
      </c>
    </row>
    <row r="5" spans="1:21">
      <c r="A5" t="s">
        <v>54</v>
      </c>
      <c r="B5">
        <v>1458</v>
      </c>
      <c r="C5">
        <v>1948</v>
      </c>
      <c r="D5">
        <v>6</v>
      </c>
      <c r="E5">
        <v>15</v>
      </c>
      <c r="F5" s="3" t="s">
        <v>55</v>
      </c>
      <c r="G5">
        <v>15</v>
      </c>
      <c r="H5" s="3" t="s">
        <v>121</v>
      </c>
      <c r="I5">
        <v>15</v>
      </c>
      <c r="J5">
        <v>0</v>
      </c>
      <c r="K5">
        <v>1</v>
      </c>
      <c r="L5">
        <v>0</v>
      </c>
      <c r="M5">
        <v>0.008338</v>
      </c>
      <c r="N5">
        <v>5</v>
      </c>
      <c r="O5">
        <v>0.000136</v>
      </c>
      <c r="P5">
        <v>5</v>
      </c>
      <c r="Q5">
        <v>0.014221</v>
      </c>
      <c r="R5" s="1">
        <v>0.014516</v>
      </c>
      <c r="T5">
        <f t="shared" si="1"/>
        <v>1</v>
      </c>
      <c r="U5" s="1">
        <f t="shared" si="0"/>
        <v>0</v>
      </c>
    </row>
    <row r="6" spans="1:21">
      <c r="A6" t="s">
        <v>58</v>
      </c>
      <c r="B6">
        <v>17903</v>
      </c>
      <c r="C6">
        <v>196972</v>
      </c>
      <c r="D6">
        <v>1324</v>
      </c>
      <c r="E6">
        <v>38659</v>
      </c>
      <c r="F6">
        <v>0.009541</v>
      </c>
      <c r="G6">
        <v>28263</v>
      </c>
      <c r="H6">
        <v>0.170233</v>
      </c>
      <c r="I6">
        <v>28260</v>
      </c>
      <c r="J6">
        <v>1.24502</v>
      </c>
      <c r="K6">
        <v>1176</v>
      </c>
      <c r="L6">
        <v>0</v>
      </c>
      <c r="M6">
        <v>-1</v>
      </c>
      <c r="N6">
        <v>38</v>
      </c>
      <c r="O6">
        <v>0.023521</v>
      </c>
      <c r="P6">
        <v>38</v>
      </c>
      <c r="Q6">
        <v>600</v>
      </c>
      <c r="R6" s="1">
        <v>600</v>
      </c>
      <c r="T6">
        <f t="shared" si="1"/>
        <v>0</v>
      </c>
      <c r="U6" s="1">
        <f t="shared" si="0"/>
        <v>0</v>
      </c>
    </row>
    <row r="7" spans="1:21">
      <c r="A7" t="s">
        <v>59</v>
      </c>
      <c r="B7">
        <v>227320</v>
      </c>
      <c r="C7">
        <v>814134</v>
      </c>
      <c r="D7">
        <v>1829</v>
      </c>
      <c r="E7">
        <v>49560</v>
      </c>
      <c r="F7">
        <v>0.02661</v>
      </c>
      <c r="G7">
        <v>49298</v>
      </c>
      <c r="H7">
        <v>0.281096</v>
      </c>
      <c r="I7">
        <v>49298</v>
      </c>
      <c r="J7">
        <v>2.10345</v>
      </c>
      <c r="K7">
        <v>841</v>
      </c>
      <c r="L7">
        <v>0</v>
      </c>
      <c r="M7">
        <v>-1</v>
      </c>
      <c r="N7">
        <v>37</v>
      </c>
      <c r="O7">
        <v>0.147208</v>
      </c>
      <c r="P7">
        <v>37</v>
      </c>
      <c r="Q7">
        <v>600</v>
      </c>
      <c r="R7" s="1">
        <v>600</v>
      </c>
      <c r="T7">
        <f t="shared" si="1"/>
        <v>0</v>
      </c>
      <c r="U7" s="1">
        <f t="shared" si="0"/>
        <v>0</v>
      </c>
    </row>
    <row r="8" spans="1:21">
      <c r="A8" t="s">
        <v>60</v>
      </c>
      <c r="B8">
        <v>21363</v>
      </c>
      <c r="C8">
        <v>91286</v>
      </c>
      <c r="D8">
        <v>609</v>
      </c>
      <c r="E8">
        <v>6577</v>
      </c>
      <c r="F8">
        <v>0.002646</v>
      </c>
      <c r="G8">
        <v>3508</v>
      </c>
      <c r="H8">
        <v>0.009755</v>
      </c>
      <c r="I8">
        <v>3504</v>
      </c>
      <c r="J8">
        <v>0.280401</v>
      </c>
      <c r="K8">
        <v>1302</v>
      </c>
      <c r="L8">
        <v>32</v>
      </c>
      <c r="M8">
        <v>1.28776</v>
      </c>
      <c r="N8">
        <v>14</v>
      </c>
      <c r="O8">
        <v>0.009014</v>
      </c>
      <c r="P8">
        <v>15</v>
      </c>
      <c r="Q8">
        <v>1.86281</v>
      </c>
      <c r="R8" s="1">
        <v>6.72469</v>
      </c>
      <c r="T8">
        <f t="shared" si="1"/>
        <v>1</v>
      </c>
      <c r="U8" s="1">
        <f t="shared" si="0"/>
        <v>0</v>
      </c>
    </row>
    <row r="9" spans="1:21">
      <c r="A9" t="s">
        <v>61</v>
      </c>
      <c r="B9">
        <v>1882</v>
      </c>
      <c r="C9">
        <v>1740</v>
      </c>
      <c r="D9">
        <v>23</v>
      </c>
      <c r="E9">
        <v>14</v>
      </c>
      <c r="F9" s="3" t="s">
        <v>180</v>
      </c>
      <c r="G9">
        <v>0</v>
      </c>
      <c r="H9" s="3" t="s">
        <v>107</v>
      </c>
      <c r="I9">
        <v>0</v>
      </c>
      <c r="J9">
        <v>0</v>
      </c>
      <c r="K9">
        <v>0</v>
      </c>
      <c r="L9">
        <v>0</v>
      </c>
      <c r="M9">
        <v>0.005066</v>
      </c>
      <c r="N9">
        <v>3</v>
      </c>
      <c r="O9">
        <v>0.000143</v>
      </c>
      <c r="P9">
        <v>3</v>
      </c>
      <c r="Q9">
        <v>0.01151</v>
      </c>
      <c r="R9" s="1">
        <v>0.004031</v>
      </c>
      <c r="T9">
        <f t="shared" si="1"/>
        <v>0</v>
      </c>
      <c r="U9" s="1">
        <f t="shared" si="0"/>
        <v>1</v>
      </c>
    </row>
    <row r="10" spans="1:21">
      <c r="A10" t="s">
        <v>63</v>
      </c>
      <c r="B10">
        <v>226413</v>
      </c>
      <c r="C10">
        <v>716460</v>
      </c>
      <c r="D10">
        <v>1424</v>
      </c>
      <c r="E10">
        <v>32461</v>
      </c>
      <c r="F10">
        <v>0.025833</v>
      </c>
      <c r="G10">
        <v>32011</v>
      </c>
      <c r="H10">
        <v>0.186207</v>
      </c>
      <c r="I10">
        <v>32011</v>
      </c>
      <c r="J10">
        <v>2.7733</v>
      </c>
      <c r="K10">
        <v>933</v>
      </c>
      <c r="L10">
        <v>0</v>
      </c>
      <c r="M10">
        <v>-1</v>
      </c>
      <c r="N10">
        <v>30</v>
      </c>
      <c r="O10">
        <v>0.099489</v>
      </c>
      <c r="P10">
        <v>30</v>
      </c>
      <c r="Q10">
        <v>600</v>
      </c>
      <c r="R10" s="1">
        <v>600</v>
      </c>
      <c r="T10">
        <f t="shared" si="1"/>
        <v>0</v>
      </c>
      <c r="U10" s="1">
        <f t="shared" si="0"/>
        <v>0</v>
      </c>
    </row>
    <row r="11" spans="1:21">
      <c r="A11" t="s">
        <v>64</v>
      </c>
      <c r="B11">
        <v>5094</v>
      </c>
      <c r="C11">
        <v>7515</v>
      </c>
      <c r="D11">
        <v>252</v>
      </c>
      <c r="E11">
        <v>1006</v>
      </c>
      <c r="F11">
        <v>0.000424</v>
      </c>
      <c r="G11">
        <v>131</v>
      </c>
      <c r="H11">
        <v>0.000791</v>
      </c>
      <c r="I11">
        <v>97</v>
      </c>
      <c r="J11">
        <v>0.034512</v>
      </c>
      <c r="K11">
        <v>201</v>
      </c>
      <c r="L11">
        <v>1</v>
      </c>
      <c r="M11">
        <v>0.019186</v>
      </c>
      <c r="N11">
        <v>5</v>
      </c>
      <c r="O11">
        <v>0.000767</v>
      </c>
      <c r="P11">
        <v>5</v>
      </c>
      <c r="Q11">
        <v>0.096697</v>
      </c>
      <c r="R11" s="1">
        <v>0.048373</v>
      </c>
      <c r="T11">
        <f t="shared" si="1"/>
        <v>0</v>
      </c>
      <c r="U11" s="1">
        <f t="shared" si="0"/>
        <v>1</v>
      </c>
    </row>
    <row r="12" spans="1:21">
      <c r="A12" t="s">
        <v>65</v>
      </c>
      <c r="B12">
        <v>4158</v>
      </c>
      <c r="C12">
        <v>13422</v>
      </c>
      <c r="D12">
        <v>46</v>
      </c>
      <c r="E12">
        <v>1030</v>
      </c>
      <c r="F12">
        <v>0.000264</v>
      </c>
      <c r="G12">
        <v>1030</v>
      </c>
      <c r="H12">
        <v>0.002425</v>
      </c>
      <c r="I12">
        <v>1030</v>
      </c>
      <c r="J12">
        <v>0.00194</v>
      </c>
      <c r="K12">
        <v>116</v>
      </c>
      <c r="L12">
        <v>8</v>
      </c>
      <c r="M12">
        <v>0.093719</v>
      </c>
      <c r="N12">
        <v>37</v>
      </c>
      <c r="O12">
        <v>0.001084</v>
      </c>
      <c r="P12">
        <v>37</v>
      </c>
      <c r="Q12">
        <v>0.120582</v>
      </c>
      <c r="R12" s="1">
        <v>0.107403</v>
      </c>
      <c r="T12">
        <f t="shared" si="1"/>
        <v>0</v>
      </c>
      <c r="U12" s="1">
        <f t="shared" si="0"/>
        <v>1</v>
      </c>
    </row>
    <row r="13" spans="1:21">
      <c r="A13" t="s">
        <v>66</v>
      </c>
      <c r="B13">
        <v>11204</v>
      </c>
      <c r="C13">
        <v>117619</v>
      </c>
      <c r="D13">
        <v>239</v>
      </c>
      <c r="E13">
        <v>28441</v>
      </c>
      <c r="F13">
        <v>0.007153</v>
      </c>
      <c r="G13">
        <v>28441</v>
      </c>
      <c r="H13">
        <v>0.596225</v>
      </c>
      <c r="I13">
        <v>28441</v>
      </c>
      <c r="J13">
        <v>0.00064</v>
      </c>
      <c r="K13">
        <v>303</v>
      </c>
      <c r="L13">
        <v>0</v>
      </c>
      <c r="M13">
        <v>-1</v>
      </c>
      <c r="N13">
        <v>180</v>
      </c>
      <c r="O13">
        <v>0.04181</v>
      </c>
      <c r="P13">
        <v>180</v>
      </c>
      <c r="Q13">
        <v>600</v>
      </c>
      <c r="R13" s="1">
        <v>600</v>
      </c>
      <c r="T13">
        <f t="shared" si="1"/>
        <v>0</v>
      </c>
      <c r="U13" s="1">
        <f t="shared" si="0"/>
        <v>0</v>
      </c>
    </row>
    <row r="14" spans="1:21">
      <c r="A14" t="s">
        <v>67</v>
      </c>
      <c r="B14">
        <v>332689</v>
      </c>
      <c r="C14">
        <v>820644</v>
      </c>
      <c r="D14">
        <v>3825</v>
      </c>
      <c r="E14">
        <v>32392</v>
      </c>
      <c r="F14">
        <v>0.047094</v>
      </c>
      <c r="G14">
        <v>11461</v>
      </c>
      <c r="H14">
        <v>0.053094</v>
      </c>
      <c r="I14">
        <v>11437</v>
      </c>
      <c r="J14">
        <v>0.266894</v>
      </c>
      <c r="K14">
        <v>3277</v>
      </c>
      <c r="L14">
        <v>495</v>
      </c>
      <c r="M14">
        <v>-1</v>
      </c>
      <c r="N14">
        <v>10</v>
      </c>
      <c r="O14">
        <v>0.239725</v>
      </c>
      <c r="P14">
        <v>10</v>
      </c>
      <c r="Q14">
        <v>600</v>
      </c>
      <c r="R14" s="1">
        <v>600</v>
      </c>
      <c r="T14">
        <f t="shared" si="1"/>
        <v>0</v>
      </c>
      <c r="U14" s="1">
        <f t="shared" si="0"/>
        <v>0</v>
      </c>
    </row>
    <row r="15" spans="1:21">
      <c r="A15" t="s">
        <v>68</v>
      </c>
      <c r="B15">
        <v>379</v>
      </c>
      <c r="C15">
        <v>914</v>
      </c>
      <c r="D15">
        <v>9</v>
      </c>
      <c r="E15">
        <v>36</v>
      </c>
      <c r="F15" s="3" t="s">
        <v>181</v>
      </c>
      <c r="G15">
        <v>36</v>
      </c>
      <c r="H15" s="3" t="s">
        <v>182</v>
      </c>
      <c r="I15">
        <v>36</v>
      </c>
      <c r="J15" s="3" t="s">
        <v>69</v>
      </c>
      <c r="K15">
        <v>1</v>
      </c>
      <c r="L15">
        <v>0</v>
      </c>
      <c r="M15">
        <v>0.04009</v>
      </c>
      <c r="N15">
        <v>8</v>
      </c>
      <c r="O15">
        <v>0.000107</v>
      </c>
      <c r="P15">
        <v>8</v>
      </c>
      <c r="Q15">
        <v>0.076733</v>
      </c>
      <c r="R15" s="1">
        <v>0.013561</v>
      </c>
      <c r="T15">
        <f t="shared" si="1"/>
        <v>0</v>
      </c>
      <c r="U15" s="1">
        <f t="shared" si="0"/>
        <v>1</v>
      </c>
    </row>
    <row r="16" spans="1:21">
      <c r="A16" t="s">
        <v>70</v>
      </c>
      <c r="B16">
        <v>32430</v>
      </c>
      <c r="C16">
        <v>54397</v>
      </c>
      <c r="D16">
        <v>1245</v>
      </c>
      <c r="E16">
        <v>14464</v>
      </c>
      <c r="F16">
        <v>0.002881</v>
      </c>
      <c r="G16">
        <v>8128</v>
      </c>
      <c r="H16">
        <v>0.023915</v>
      </c>
      <c r="I16">
        <v>7846</v>
      </c>
      <c r="J16">
        <v>0.177852</v>
      </c>
      <c r="K16">
        <v>1365</v>
      </c>
      <c r="L16">
        <v>125</v>
      </c>
      <c r="M16">
        <v>25.736</v>
      </c>
      <c r="N16">
        <v>6</v>
      </c>
      <c r="O16">
        <v>0.003266</v>
      </c>
      <c r="P16">
        <v>8</v>
      </c>
      <c r="Q16">
        <v>26.0362</v>
      </c>
      <c r="R16" s="1">
        <v>16.6853</v>
      </c>
      <c r="T16">
        <f t="shared" si="1"/>
        <v>0</v>
      </c>
      <c r="U16" s="1">
        <f t="shared" si="0"/>
        <v>1</v>
      </c>
    </row>
    <row r="17" spans="1:21">
      <c r="A17" t="s">
        <v>71</v>
      </c>
      <c r="B17">
        <v>1133</v>
      </c>
      <c r="C17">
        <v>5451</v>
      </c>
      <c r="D17">
        <v>468</v>
      </c>
      <c r="E17">
        <v>3420</v>
      </c>
      <c r="F17">
        <v>0.000549</v>
      </c>
      <c r="G17">
        <v>445</v>
      </c>
      <c r="H17">
        <v>0.002662</v>
      </c>
      <c r="I17">
        <v>166</v>
      </c>
      <c r="J17">
        <v>0.077349</v>
      </c>
      <c r="K17">
        <v>342</v>
      </c>
      <c r="L17">
        <v>4</v>
      </c>
      <c r="M17">
        <v>0.014318</v>
      </c>
      <c r="N17">
        <v>7</v>
      </c>
      <c r="O17">
        <v>0.000379</v>
      </c>
      <c r="P17">
        <v>9</v>
      </c>
      <c r="Q17">
        <v>0.105224</v>
      </c>
      <c r="R17" s="1">
        <v>0.073993</v>
      </c>
      <c r="T17">
        <f t="shared" si="1"/>
        <v>0</v>
      </c>
      <c r="U17" s="1">
        <f t="shared" si="0"/>
        <v>1</v>
      </c>
    </row>
    <row r="18" spans="1:21">
      <c r="A18" t="s">
        <v>72</v>
      </c>
      <c r="B18">
        <v>33696</v>
      </c>
      <c r="C18">
        <v>180811</v>
      </c>
      <c r="D18">
        <v>5329</v>
      </c>
      <c r="E18">
        <v>104930</v>
      </c>
      <c r="F18">
        <v>0.020673</v>
      </c>
      <c r="G18">
        <v>70285</v>
      </c>
      <c r="H18">
        <v>0.368321</v>
      </c>
      <c r="I18">
        <v>70030</v>
      </c>
      <c r="J18">
        <v>0.291615</v>
      </c>
      <c r="K18">
        <v>455</v>
      </c>
      <c r="L18">
        <v>0</v>
      </c>
      <c r="M18">
        <v>-1</v>
      </c>
      <c r="N18">
        <v>9</v>
      </c>
      <c r="O18">
        <v>0.016243</v>
      </c>
      <c r="P18">
        <v>9</v>
      </c>
      <c r="Q18">
        <v>600</v>
      </c>
      <c r="R18" s="1">
        <v>600</v>
      </c>
      <c r="T18">
        <f t="shared" si="1"/>
        <v>0</v>
      </c>
      <c r="U18" s="1">
        <f t="shared" si="0"/>
        <v>0</v>
      </c>
    </row>
    <row r="19" spans="1:21">
      <c r="A19" t="s">
        <v>73</v>
      </c>
      <c r="B19">
        <v>143</v>
      </c>
      <c r="C19">
        <v>623</v>
      </c>
      <c r="D19">
        <v>80</v>
      </c>
      <c r="E19">
        <v>442</v>
      </c>
      <c r="F19" s="3" t="s">
        <v>52</v>
      </c>
      <c r="G19">
        <v>139</v>
      </c>
      <c r="H19">
        <v>0.000494</v>
      </c>
      <c r="I19">
        <v>105</v>
      </c>
      <c r="J19">
        <v>0.029318</v>
      </c>
      <c r="K19">
        <v>144</v>
      </c>
      <c r="L19">
        <v>0</v>
      </c>
      <c r="M19">
        <v>0.008333</v>
      </c>
      <c r="N19">
        <v>6</v>
      </c>
      <c r="O19" s="3" t="s">
        <v>137</v>
      </c>
      <c r="P19">
        <v>7</v>
      </c>
      <c r="Q19">
        <v>0.052927</v>
      </c>
      <c r="R19" s="1">
        <v>0.02798</v>
      </c>
      <c r="T19">
        <f t="shared" si="1"/>
        <v>0</v>
      </c>
      <c r="U19" s="1">
        <f t="shared" si="0"/>
        <v>1</v>
      </c>
    </row>
    <row r="20" spans="1:21">
      <c r="A20" t="s">
        <v>74</v>
      </c>
      <c r="B20">
        <v>1266</v>
      </c>
      <c r="C20">
        <v>6451</v>
      </c>
      <c r="D20">
        <v>761</v>
      </c>
      <c r="E20">
        <v>5580</v>
      </c>
      <c r="F20">
        <v>0.000828</v>
      </c>
      <c r="G20">
        <v>689</v>
      </c>
      <c r="H20">
        <v>0.004133</v>
      </c>
      <c r="I20">
        <v>139</v>
      </c>
      <c r="J20">
        <v>0.03519</v>
      </c>
      <c r="K20">
        <v>106</v>
      </c>
      <c r="L20">
        <v>0</v>
      </c>
      <c r="M20">
        <v>0.00692</v>
      </c>
      <c r="N20">
        <v>4</v>
      </c>
      <c r="O20">
        <v>0.000479</v>
      </c>
      <c r="P20">
        <v>5</v>
      </c>
      <c r="Q20">
        <v>0.056865</v>
      </c>
      <c r="R20" s="1">
        <v>0.03735</v>
      </c>
      <c r="T20">
        <f t="shared" si="1"/>
        <v>0</v>
      </c>
      <c r="U20" s="1">
        <f t="shared" si="0"/>
        <v>1</v>
      </c>
    </row>
    <row r="21" spans="1:21">
      <c r="A21" t="s">
        <v>75</v>
      </c>
      <c r="B21">
        <v>410</v>
      </c>
      <c r="C21">
        <v>2765</v>
      </c>
      <c r="D21">
        <v>50</v>
      </c>
      <c r="E21">
        <v>504</v>
      </c>
      <c r="F21">
        <v>0.000132</v>
      </c>
      <c r="G21">
        <v>165</v>
      </c>
      <c r="H21">
        <v>0.000984</v>
      </c>
      <c r="I21">
        <v>155</v>
      </c>
      <c r="J21">
        <v>0.07451</v>
      </c>
      <c r="K21">
        <v>103</v>
      </c>
      <c r="L21">
        <v>2</v>
      </c>
      <c r="M21">
        <v>0.059241</v>
      </c>
      <c r="N21">
        <v>14</v>
      </c>
      <c r="O21">
        <v>0.0003</v>
      </c>
      <c r="P21">
        <v>14</v>
      </c>
      <c r="Q21">
        <v>0.19878</v>
      </c>
      <c r="R21" s="1">
        <v>0.054568</v>
      </c>
      <c r="T21">
        <f t="shared" si="1"/>
        <v>0</v>
      </c>
      <c r="U21" s="1">
        <f t="shared" si="0"/>
        <v>1</v>
      </c>
    </row>
    <row r="22" spans="1:21">
      <c r="A22" t="s">
        <v>76</v>
      </c>
      <c r="B22">
        <v>113</v>
      </c>
      <c r="C22">
        <v>2196</v>
      </c>
      <c r="D22">
        <v>110</v>
      </c>
      <c r="E22">
        <v>2173</v>
      </c>
      <c r="F22">
        <v>0.001295</v>
      </c>
      <c r="G22">
        <v>1688</v>
      </c>
      <c r="H22">
        <v>0.015186</v>
      </c>
      <c r="I22">
        <v>1512</v>
      </c>
      <c r="J22">
        <v>0.606559</v>
      </c>
      <c r="K22">
        <v>436</v>
      </c>
      <c r="L22">
        <v>2</v>
      </c>
      <c r="M22">
        <v>0.080319</v>
      </c>
      <c r="N22">
        <v>12</v>
      </c>
      <c r="O22">
        <v>0.000901</v>
      </c>
      <c r="P22">
        <v>13</v>
      </c>
      <c r="Q22">
        <v>0.758728</v>
      </c>
      <c r="R22" s="1">
        <v>0.207207</v>
      </c>
      <c r="T22">
        <f t="shared" si="1"/>
        <v>0</v>
      </c>
      <c r="U22" s="1">
        <f t="shared" si="0"/>
        <v>1</v>
      </c>
    </row>
    <row r="23" spans="1:21">
      <c r="A23" t="s">
        <v>77</v>
      </c>
      <c r="B23">
        <v>6809</v>
      </c>
      <c r="C23">
        <v>7680</v>
      </c>
      <c r="D23">
        <v>139</v>
      </c>
      <c r="E23">
        <v>553</v>
      </c>
      <c r="F23">
        <v>0.000173</v>
      </c>
      <c r="G23">
        <v>71</v>
      </c>
      <c r="H23">
        <v>0.000212</v>
      </c>
      <c r="I23">
        <v>26</v>
      </c>
      <c r="J23">
        <v>0.009066</v>
      </c>
      <c r="K23">
        <v>0</v>
      </c>
      <c r="L23">
        <v>0</v>
      </c>
      <c r="M23" s="3" t="s">
        <v>51</v>
      </c>
      <c r="N23">
        <v>4</v>
      </c>
      <c r="O23">
        <v>0.000309</v>
      </c>
      <c r="P23">
        <v>4</v>
      </c>
      <c r="Q23">
        <v>0.018489</v>
      </c>
      <c r="R23" s="1">
        <v>0.017662</v>
      </c>
      <c r="T23">
        <f t="shared" si="1"/>
        <v>0</v>
      </c>
      <c r="U23" s="1">
        <f t="shared" si="0"/>
        <v>1</v>
      </c>
    </row>
    <row r="24" spans="1:21">
      <c r="A24" t="s">
        <v>78</v>
      </c>
      <c r="B24">
        <v>92117</v>
      </c>
      <c r="C24">
        <v>360767</v>
      </c>
      <c r="D24">
        <v>16279</v>
      </c>
      <c r="E24">
        <v>251033</v>
      </c>
      <c r="F24">
        <v>0.048652</v>
      </c>
      <c r="G24">
        <v>119974</v>
      </c>
      <c r="H24">
        <v>0.98362</v>
      </c>
      <c r="I24">
        <v>119763</v>
      </c>
      <c r="J24">
        <v>0.234864</v>
      </c>
      <c r="K24">
        <v>432</v>
      </c>
      <c r="L24">
        <v>0</v>
      </c>
      <c r="M24">
        <v>-1</v>
      </c>
      <c r="N24">
        <v>5</v>
      </c>
      <c r="O24">
        <v>0.047809</v>
      </c>
      <c r="P24">
        <v>5</v>
      </c>
      <c r="Q24">
        <v>600</v>
      </c>
      <c r="R24" s="1">
        <v>600</v>
      </c>
      <c r="T24">
        <f t="shared" si="1"/>
        <v>0</v>
      </c>
      <c r="U24" s="1">
        <f t="shared" si="0"/>
        <v>0</v>
      </c>
    </row>
    <row r="25" spans="1:21">
      <c r="A25" t="s">
        <v>79</v>
      </c>
      <c r="B25">
        <v>4941</v>
      </c>
      <c r="C25">
        <v>6594</v>
      </c>
      <c r="D25">
        <v>24</v>
      </c>
      <c r="E25">
        <v>72</v>
      </c>
      <c r="F25">
        <v>0.000165</v>
      </c>
      <c r="G25">
        <v>30</v>
      </c>
      <c r="H25" s="3" t="s">
        <v>183</v>
      </c>
      <c r="I25">
        <v>30</v>
      </c>
      <c r="J25">
        <v>0.004292</v>
      </c>
      <c r="K25">
        <v>19</v>
      </c>
      <c r="L25">
        <v>0</v>
      </c>
      <c r="M25">
        <v>0.003542</v>
      </c>
      <c r="N25">
        <v>5</v>
      </c>
      <c r="O25">
        <v>0.000499</v>
      </c>
      <c r="P25">
        <v>5</v>
      </c>
      <c r="Q25">
        <v>0.021141</v>
      </c>
      <c r="R25" s="1">
        <v>0.032454</v>
      </c>
      <c r="T25">
        <f t="shared" si="1"/>
        <v>1</v>
      </c>
      <c r="U25" s="1">
        <f t="shared" si="0"/>
        <v>0</v>
      </c>
    </row>
    <row r="26" spans="1:21">
      <c r="A26" t="s">
        <v>80</v>
      </c>
      <c r="B26">
        <v>91813</v>
      </c>
      <c r="C26">
        <v>125704</v>
      </c>
      <c r="D26">
        <v>114</v>
      </c>
      <c r="E26">
        <v>136</v>
      </c>
      <c r="F26">
        <v>0.007954</v>
      </c>
      <c r="G26">
        <v>0</v>
      </c>
      <c r="H26" s="3" t="s">
        <v>25</v>
      </c>
      <c r="I26">
        <v>0</v>
      </c>
      <c r="J26" s="3" t="s">
        <v>57</v>
      </c>
      <c r="K26">
        <v>0</v>
      </c>
      <c r="L26">
        <v>0</v>
      </c>
      <c r="M26">
        <v>0.006439</v>
      </c>
      <c r="N26">
        <v>5</v>
      </c>
      <c r="O26">
        <v>0.022503</v>
      </c>
      <c r="P26">
        <v>5</v>
      </c>
      <c r="Q26">
        <v>0.114632</v>
      </c>
      <c r="R26" s="1">
        <v>0.049504</v>
      </c>
      <c r="T26">
        <f t="shared" si="1"/>
        <v>0</v>
      </c>
      <c r="U26" s="1">
        <f t="shared" si="0"/>
        <v>1</v>
      </c>
    </row>
    <row r="27" spans="1:21">
      <c r="A27" t="s">
        <v>82</v>
      </c>
      <c r="B27">
        <v>96</v>
      </c>
      <c r="C27">
        <v>117</v>
      </c>
      <c r="D27">
        <v>16</v>
      </c>
      <c r="E27">
        <v>26</v>
      </c>
      <c r="F27" s="3" t="s">
        <v>83</v>
      </c>
      <c r="G27">
        <v>6</v>
      </c>
      <c r="H27" s="3" t="s">
        <v>46</v>
      </c>
      <c r="I27">
        <v>6</v>
      </c>
      <c r="J27">
        <v>0.009634</v>
      </c>
      <c r="K27">
        <v>7</v>
      </c>
      <c r="L27">
        <v>0</v>
      </c>
      <c r="M27">
        <v>0.005473</v>
      </c>
      <c r="N27">
        <v>3</v>
      </c>
      <c r="O27" s="3" t="s">
        <v>103</v>
      </c>
      <c r="P27">
        <v>3</v>
      </c>
      <c r="Q27">
        <v>0.02743</v>
      </c>
      <c r="R27" s="1">
        <v>0.023712</v>
      </c>
      <c r="T27">
        <f t="shared" si="1"/>
        <v>0</v>
      </c>
      <c r="U27" s="1">
        <f t="shared" si="0"/>
        <v>1</v>
      </c>
    </row>
    <row r="28" spans="1:21">
      <c r="A28" t="s">
        <v>85</v>
      </c>
      <c r="B28">
        <v>761</v>
      </c>
      <c r="C28">
        <v>1029</v>
      </c>
      <c r="D28">
        <v>51</v>
      </c>
      <c r="E28">
        <v>139</v>
      </c>
      <c r="F28" s="3" t="s">
        <v>184</v>
      </c>
      <c r="G28">
        <v>13</v>
      </c>
      <c r="H28" s="3" t="s">
        <v>185</v>
      </c>
      <c r="I28">
        <v>0</v>
      </c>
      <c r="J28">
        <v>0.00024</v>
      </c>
      <c r="K28">
        <v>0</v>
      </c>
      <c r="L28">
        <v>0</v>
      </c>
      <c r="M28">
        <v>0.009339</v>
      </c>
      <c r="N28">
        <v>4</v>
      </c>
      <c r="O28">
        <v>0.000121</v>
      </c>
      <c r="P28">
        <v>4</v>
      </c>
      <c r="Q28">
        <v>0.019532</v>
      </c>
      <c r="R28" s="1">
        <v>0.005329</v>
      </c>
      <c r="T28">
        <f t="shared" si="1"/>
        <v>0</v>
      </c>
      <c r="U28" s="1">
        <f t="shared" si="0"/>
        <v>1</v>
      </c>
    </row>
    <row r="29" spans="1:21">
      <c r="A29" t="s">
        <v>89</v>
      </c>
      <c r="B29">
        <v>146</v>
      </c>
      <c r="C29">
        <v>9828</v>
      </c>
      <c r="D29">
        <v>131</v>
      </c>
      <c r="E29">
        <v>8435</v>
      </c>
      <c r="F29">
        <v>0.001093</v>
      </c>
      <c r="G29">
        <v>8435</v>
      </c>
      <c r="H29">
        <v>0.076483</v>
      </c>
      <c r="I29">
        <v>8435</v>
      </c>
      <c r="J29">
        <v>0.940936</v>
      </c>
      <c r="K29">
        <v>2317</v>
      </c>
      <c r="L29">
        <v>0</v>
      </c>
      <c r="M29">
        <v>0.558791</v>
      </c>
      <c r="N29">
        <v>115</v>
      </c>
      <c r="O29">
        <v>0.00262</v>
      </c>
      <c r="P29">
        <v>115</v>
      </c>
      <c r="Q29">
        <v>2.15095</v>
      </c>
      <c r="R29" s="1">
        <v>1.74365</v>
      </c>
      <c r="T29">
        <f t="shared" si="1"/>
        <v>0</v>
      </c>
      <c r="U29" s="1">
        <f t="shared" si="0"/>
        <v>1</v>
      </c>
    </row>
    <row r="30" spans="1:21">
      <c r="A30" t="s">
        <v>90</v>
      </c>
      <c r="B30">
        <v>488</v>
      </c>
      <c r="C30">
        <v>71011</v>
      </c>
      <c r="D30">
        <v>371</v>
      </c>
      <c r="E30">
        <v>62369</v>
      </c>
      <c r="F30">
        <v>0.013079</v>
      </c>
      <c r="G30">
        <v>-1</v>
      </c>
      <c r="H30">
        <v>3.45725</v>
      </c>
      <c r="I30">
        <v>-1</v>
      </c>
      <c r="J30">
        <v>-1</v>
      </c>
      <c r="K30">
        <v>0</v>
      </c>
      <c r="L30">
        <v>0</v>
      </c>
      <c r="M30">
        <v>-1</v>
      </c>
      <c r="N30">
        <v>229</v>
      </c>
      <c r="O30">
        <v>0.085488</v>
      </c>
      <c r="P30">
        <v>229</v>
      </c>
      <c r="Q30">
        <v>600</v>
      </c>
      <c r="R30" s="1">
        <v>600</v>
      </c>
      <c r="T30">
        <f t="shared" si="1"/>
        <v>0</v>
      </c>
      <c r="U30" s="1">
        <f t="shared" si="0"/>
        <v>0</v>
      </c>
    </row>
    <row r="31" spans="1:21">
      <c r="A31" t="s">
        <v>91</v>
      </c>
      <c r="B31">
        <v>1303</v>
      </c>
      <c r="C31">
        <v>531893</v>
      </c>
      <c r="D31">
        <v>1132</v>
      </c>
      <c r="E31">
        <v>498788</v>
      </c>
      <c r="F31">
        <v>0.074937</v>
      </c>
      <c r="G31">
        <v>498782</v>
      </c>
      <c r="H31">
        <v>69.6388</v>
      </c>
      <c r="I31">
        <v>498782</v>
      </c>
      <c r="J31">
        <v>225.631</v>
      </c>
      <c r="K31">
        <v>816</v>
      </c>
      <c r="L31">
        <v>0</v>
      </c>
      <c r="M31">
        <v>-1</v>
      </c>
      <c r="N31">
        <v>419</v>
      </c>
      <c r="O31">
        <v>1.12379</v>
      </c>
      <c r="P31">
        <v>419</v>
      </c>
      <c r="Q31">
        <v>600</v>
      </c>
      <c r="R31" s="1">
        <v>600</v>
      </c>
      <c r="T31">
        <f t="shared" si="1"/>
        <v>0</v>
      </c>
      <c r="U31" s="1">
        <f t="shared" si="0"/>
        <v>0</v>
      </c>
    </row>
    <row r="32" spans="1:21">
      <c r="A32" t="s">
        <v>92</v>
      </c>
      <c r="B32">
        <v>10972</v>
      </c>
      <c r="C32">
        <v>175573</v>
      </c>
      <c r="D32">
        <v>950</v>
      </c>
      <c r="E32">
        <v>36624</v>
      </c>
      <c r="F32">
        <v>0.006809</v>
      </c>
      <c r="G32">
        <v>35668</v>
      </c>
      <c r="H32">
        <v>0.199954</v>
      </c>
      <c r="I32">
        <v>35666</v>
      </c>
      <c r="J32">
        <v>4.39549</v>
      </c>
      <c r="K32">
        <v>902</v>
      </c>
      <c r="L32">
        <v>0</v>
      </c>
      <c r="M32">
        <v>-1</v>
      </c>
      <c r="N32">
        <v>51</v>
      </c>
      <c r="O32">
        <v>0.026192</v>
      </c>
      <c r="P32">
        <v>51</v>
      </c>
      <c r="Q32">
        <v>600</v>
      </c>
      <c r="R32" s="1">
        <v>600</v>
      </c>
      <c r="T32">
        <f t="shared" si="1"/>
        <v>0</v>
      </c>
      <c r="U32" s="1">
        <f t="shared" si="0"/>
        <v>0</v>
      </c>
    </row>
    <row r="33" spans="1:21">
      <c r="A33" t="s">
        <v>93</v>
      </c>
      <c r="B33">
        <v>113</v>
      </c>
      <c r="C33">
        <v>6222</v>
      </c>
      <c r="D33">
        <v>107</v>
      </c>
      <c r="E33">
        <v>5669</v>
      </c>
      <c r="F33">
        <v>0.000633</v>
      </c>
      <c r="G33">
        <v>5669</v>
      </c>
      <c r="H33">
        <v>0.038284</v>
      </c>
      <c r="I33">
        <v>5669</v>
      </c>
      <c r="J33">
        <v>0.00011</v>
      </c>
      <c r="K33">
        <v>6</v>
      </c>
      <c r="L33">
        <v>2</v>
      </c>
      <c r="M33">
        <v>0.244733</v>
      </c>
      <c r="N33">
        <v>102</v>
      </c>
      <c r="O33">
        <v>0.001069</v>
      </c>
      <c r="P33">
        <v>102</v>
      </c>
      <c r="Q33">
        <v>0.398043</v>
      </c>
      <c r="R33" s="1">
        <v>1.01137</v>
      </c>
      <c r="T33">
        <f t="shared" si="1"/>
        <v>1</v>
      </c>
      <c r="U33" s="1">
        <f t="shared" si="0"/>
        <v>0</v>
      </c>
    </row>
    <row r="34" spans="1:21">
      <c r="A34" t="s">
        <v>94</v>
      </c>
      <c r="B34">
        <v>1206</v>
      </c>
      <c r="C34">
        <v>65990</v>
      </c>
      <c r="D34">
        <v>321</v>
      </c>
      <c r="E34">
        <v>38139</v>
      </c>
      <c r="F34">
        <v>0.008144</v>
      </c>
      <c r="G34">
        <v>36477</v>
      </c>
      <c r="H34">
        <v>1.15197</v>
      </c>
      <c r="I34">
        <v>36472</v>
      </c>
      <c r="J34">
        <v>302.25</v>
      </c>
      <c r="K34">
        <v>692</v>
      </c>
      <c r="L34">
        <v>0</v>
      </c>
      <c r="M34">
        <v>-1</v>
      </c>
      <c r="N34">
        <v>125</v>
      </c>
      <c r="O34">
        <v>0.037312</v>
      </c>
      <c r="P34">
        <v>125</v>
      </c>
      <c r="Q34">
        <v>600</v>
      </c>
      <c r="R34" s="1">
        <v>600</v>
      </c>
      <c r="T34">
        <f t="shared" si="1"/>
        <v>0</v>
      </c>
      <c r="U34" s="1">
        <f t="shared" si="0"/>
        <v>0</v>
      </c>
    </row>
    <row r="35" spans="1:21">
      <c r="A35" t="s">
        <v>95</v>
      </c>
      <c r="B35">
        <v>17151</v>
      </c>
      <c r="C35">
        <v>24015</v>
      </c>
      <c r="D35">
        <v>96</v>
      </c>
      <c r="E35">
        <v>995</v>
      </c>
      <c r="F35">
        <v>0.001164</v>
      </c>
      <c r="G35">
        <v>894</v>
      </c>
      <c r="H35">
        <v>0.00239</v>
      </c>
      <c r="I35">
        <v>889</v>
      </c>
      <c r="J35">
        <v>0.323498</v>
      </c>
      <c r="K35">
        <v>418</v>
      </c>
      <c r="L35">
        <v>6</v>
      </c>
      <c r="M35">
        <v>0.107649</v>
      </c>
      <c r="N35">
        <v>13</v>
      </c>
      <c r="O35">
        <v>0.003832</v>
      </c>
      <c r="P35">
        <v>14</v>
      </c>
      <c r="Q35">
        <v>0.481723</v>
      </c>
      <c r="R35" s="1">
        <v>0.220655</v>
      </c>
      <c r="T35">
        <f t="shared" si="1"/>
        <v>0</v>
      </c>
      <c r="U35" s="1">
        <f t="shared" si="0"/>
        <v>1</v>
      </c>
    </row>
    <row r="36" spans="1:21">
      <c r="A36" t="s">
        <v>96</v>
      </c>
      <c r="B36">
        <v>72</v>
      </c>
      <c r="C36">
        <v>355</v>
      </c>
      <c r="D36">
        <v>18</v>
      </c>
      <c r="E36">
        <v>150</v>
      </c>
      <c r="F36" s="3" t="s">
        <v>186</v>
      </c>
      <c r="G36">
        <v>150</v>
      </c>
      <c r="H36">
        <v>0.00014</v>
      </c>
      <c r="I36">
        <v>150</v>
      </c>
      <c r="J36" s="3" t="s">
        <v>26</v>
      </c>
      <c r="K36">
        <v>1</v>
      </c>
      <c r="L36">
        <v>0</v>
      </c>
      <c r="M36">
        <v>0.004556</v>
      </c>
      <c r="N36">
        <v>15</v>
      </c>
      <c r="O36" s="3" t="s">
        <v>49</v>
      </c>
      <c r="P36">
        <v>15</v>
      </c>
      <c r="Q36">
        <v>0.012947</v>
      </c>
      <c r="R36" s="1">
        <v>0.013558</v>
      </c>
      <c r="T36">
        <f t="shared" si="1"/>
        <v>1</v>
      </c>
      <c r="U36" s="1">
        <f t="shared" si="0"/>
        <v>0</v>
      </c>
    </row>
    <row r="37" spans="1:21">
      <c r="A37" t="s">
        <v>99</v>
      </c>
      <c r="B37">
        <v>34</v>
      </c>
      <c r="C37">
        <v>96</v>
      </c>
      <c r="D37">
        <v>12</v>
      </c>
      <c r="E37">
        <v>53</v>
      </c>
      <c r="F37" s="3" t="s">
        <v>109</v>
      </c>
      <c r="G37">
        <v>53</v>
      </c>
      <c r="H37" s="3" t="s">
        <v>187</v>
      </c>
      <c r="I37">
        <v>53</v>
      </c>
      <c r="J37">
        <v>0.000731</v>
      </c>
      <c r="K37">
        <v>21</v>
      </c>
      <c r="L37">
        <v>0</v>
      </c>
      <c r="M37">
        <v>0.011421</v>
      </c>
      <c r="N37">
        <v>7</v>
      </c>
      <c r="O37" s="3" t="s">
        <v>109</v>
      </c>
      <c r="P37">
        <v>7</v>
      </c>
      <c r="Q37">
        <v>0.033706</v>
      </c>
      <c r="R37" s="1">
        <v>0.010842</v>
      </c>
      <c r="T37">
        <f t="shared" si="1"/>
        <v>0</v>
      </c>
      <c r="U37" s="1">
        <f t="shared" si="0"/>
        <v>1</v>
      </c>
    </row>
    <row r="38" spans="1:21">
      <c r="A38" t="s">
        <v>101</v>
      </c>
      <c r="B38">
        <v>72</v>
      </c>
      <c r="C38">
        <v>129</v>
      </c>
      <c r="D38">
        <v>12</v>
      </c>
      <c r="E38">
        <v>53</v>
      </c>
      <c r="F38" s="3" t="s">
        <v>83</v>
      </c>
      <c r="G38">
        <v>35</v>
      </c>
      <c r="H38" s="3" t="s">
        <v>183</v>
      </c>
      <c r="I38">
        <v>35</v>
      </c>
      <c r="J38">
        <v>0.002447</v>
      </c>
      <c r="K38">
        <v>7</v>
      </c>
      <c r="L38">
        <v>0</v>
      </c>
      <c r="M38">
        <v>0.004129</v>
      </c>
      <c r="N38">
        <v>7</v>
      </c>
      <c r="O38" s="3" t="s">
        <v>108</v>
      </c>
      <c r="P38">
        <v>7</v>
      </c>
      <c r="Q38">
        <v>0.013983</v>
      </c>
      <c r="R38" s="1">
        <v>0.014404</v>
      </c>
      <c r="T38">
        <f t="shared" si="1"/>
        <v>1</v>
      </c>
      <c r="U38" s="1">
        <f t="shared" si="0"/>
        <v>0</v>
      </c>
    </row>
    <row r="39" spans="1:21">
      <c r="A39" t="s">
        <v>104</v>
      </c>
      <c r="B39">
        <v>80</v>
      </c>
      <c r="C39">
        <v>226</v>
      </c>
      <c r="D39">
        <v>18</v>
      </c>
      <c r="E39">
        <v>103</v>
      </c>
      <c r="F39" s="3" t="s">
        <v>103</v>
      </c>
      <c r="G39">
        <v>80</v>
      </c>
      <c r="H39" s="3" t="s">
        <v>171</v>
      </c>
      <c r="I39">
        <v>80</v>
      </c>
      <c r="J39">
        <v>0.003088</v>
      </c>
      <c r="K39">
        <v>26</v>
      </c>
      <c r="L39">
        <v>0</v>
      </c>
      <c r="M39">
        <v>0.003672</v>
      </c>
      <c r="N39">
        <v>8</v>
      </c>
      <c r="O39" s="3" t="s">
        <v>105</v>
      </c>
      <c r="P39">
        <v>9</v>
      </c>
      <c r="Q39">
        <v>0.011995</v>
      </c>
      <c r="R39" s="1">
        <v>0.079602</v>
      </c>
      <c r="T39">
        <f t="shared" si="1"/>
        <v>1</v>
      </c>
      <c r="U39" s="1">
        <f t="shared" si="0"/>
        <v>0</v>
      </c>
    </row>
    <row r="40" spans="1:21">
      <c r="A40" t="s">
        <v>106</v>
      </c>
      <c r="B40">
        <v>34</v>
      </c>
      <c r="C40">
        <v>41</v>
      </c>
      <c r="D40">
        <v>6</v>
      </c>
      <c r="E40">
        <v>14</v>
      </c>
      <c r="F40" s="3" t="s">
        <v>111</v>
      </c>
      <c r="G40">
        <v>14</v>
      </c>
      <c r="H40" s="3" t="s">
        <v>41</v>
      </c>
      <c r="I40">
        <v>14</v>
      </c>
      <c r="J40" s="3" t="s">
        <v>51</v>
      </c>
      <c r="K40">
        <v>2</v>
      </c>
      <c r="L40">
        <v>1</v>
      </c>
      <c r="M40">
        <v>0.023022</v>
      </c>
      <c r="N40">
        <v>4</v>
      </c>
      <c r="O40" s="3" t="s">
        <v>126</v>
      </c>
      <c r="P40">
        <v>4</v>
      </c>
      <c r="Q40">
        <v>0.046425</v>
      </c>
      <c r="R40" s="1">
        <v>0.013792</v>
      </c>
      <c r="T40">
        <f t="shared" si="1"/>
        <v>0</v>
      </c>
      <c r="U40" s="1">
        <f t="shared" si="0"/>
        <v>1</v>
      </c>
    </row>
    <row r="41" spans="1:21">
      <c r="A41" t="s">
        <v>110</v>
      </c>
      <c r="B41">
        <v>31</v>
      </c>
      <c r="C41">
        <v>39</v>
      </c>
      <c r="D41">
        <v>6</v>
      </c>
      <c r="E41">
        <v>15</v>
      </c>
      <c r="F41" s="3" t="s">
        <v>111</v>
      </c>
      <c r="G41">
        <v>15</v>
      </c>
      <c r="H41" s="3" t="s">
        <v>173</v>
      </c>
      <c r="I41">
        <v>15</v>
      </c>
      <c r="J41" s="3" t="s">
        <v>51</v>
      </c>
      <c r="K41">
        <v>1</v>
      </c>
      <c r="L41">
        <v>0</v>
      </c>
      <c r="M41">
        <v>0.00451</v>
      </c>
      <c r="N41">
        <v>5</v>
      </c>
      <c r="O41" s="3" t="s">
        <v>83</v>
      </c>
      <c r="P41">
        <v>5</v>
      </c>
      <c r="Q41">
        <v>0.011955</v>
      </c>
      <c r="R41" s="1">
        <v>0.013077</v>
      </c>
      <c r="T41">
        <f t="shared" si="1"/>
        <v>1</v>
      </c>
      <c r="U41" s="1">
        <f t="shared" si="0"/>
        <v>0</v>
      </c>
    </row>
    <row r="42" spans="1:21">
      <c r="A42" t="s">
        <v>112</v>
      </c>
      <c r="B42">
        <v>135</v>
      </c>
      <c r="C42">
        <v>1078</v>
      </c>
      <c r="D42">
        <v>34</v>
      </c>
      <c r="E42">
        <v>451</v>
      </c>
      <c r="F42" s="3" t="s">
        <v>185</v>
      </c>
      <c r="G42">
        <v>407</v>
      </c>
      <c r="H42">
        <v>0.001263</v>
      </c>
      <c r="I42">
        <v>407</v>
      </c>
      <c r="J42">
        <v>0.020733</v>
      </c>
      <c r="K42">
        <v>31</v>
      </c>
      <c r="L42">
        <v>0</v>
      </c>
      <c r="M42">
        <v>0.025094</v>
      </c>
      <c r="N42">
        <v>21</v>
      </c>
      <c r="O42">
        <v>0.000137</v>
      </c>
      <c r="P42">
        <v>21</v>
      </c>
      <c r="Q42">
        <v>0.115041</v>
      </c>
      <c r="R42" s="1">
        <v>0.036055</v>
      </c>
      <c r="T42">
        <f t="shared" si="1"/>
        <v>0</v>
      </c>
      <c r="U42" s="1">
        <f t="shared" si="0"/>
        <v>1</v>
      </c>
    </row>
    <row r="43" spans="1:21">
      <c r="A43" t="s">
        <v>114</v>
      </c>
      <c r="B43">
        <v>13</v>
      </c>
      <c r="C43">
        <v>7</v>
      </c>
      <c r="D43">
        <v>1</v>
      </c>
      <c r="E43">
        <v>0</v>
      </c>
      <c r="F43" s="3" t="s">
        <v>69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3" t="s">
        <v>69</v>
      </c>
      <c r="N43">
        <v>2</v>
      </c>
      <c r="O43" s="3" t="s">
        <v>107</v>
      </c>
      <c r="P43">
        <v>2</v>
      </c>
      <c r="Q43">
        <v>0.014828</v>
      </c>
      <c r="R43" s="1">
        <v>0.006274</v>
      </c>
      <c r="T43">
        <f t="shared" si="1"/>
        <v>0</v>
      </c>
      <c r="U43" s="1">
        <f t="shared" si="0"/>
        <v>1</v>
      </c>
    </row>
    <row r="44" spans="1:21">
      <c r="A44" t="s">
        <v>115</v>
      </c>
      <c r="B44">
        <v>5</v>
      </c>
      <c r="C44">
        <v>6</v>
      </c>
      <c r="D44">
        <v>4</v>
      </c>
      <c r="E44">
        <v>5</v>
      </c>
      <c r="F44" s="3" t="s">
        <v>26</v>
      </c>
      <c r="G44">
        <v>5</v>
      </c>
      <c r="H44" s="3" t="s">
        <v>107</v>
      </c>
      <c r="I44">
        <v>5</v>
      </c>
      <c r="J44" s="3" t="s">
        <v>57</v>
      </c>
      <c r="K44">
        <v>2</v>
      </c>
      <c r="L44">
        <v>1</v>
      </c>
      <c r="M44">
        <v>0.008041</v>
      </c>
      <c r="N44">
        <v>2</v>
      </c>
      <c r="O44" s="3" t="s">
        <v>107</v>
      </c>
      <c r="P44">
        <v>2</v>
      </c>
      <c r="Q44">
        <v>0.027653</v>
      </c>
      <c r="R44" s="1">
        <v>0.017961</v>
      </c>
      <c r="T44">
        <f t="shared" si="1"/>
        <v>0</v>
      </c>
      <c r="U44" s="1">
        <f t="shared" si="0"/>
        <v>1</v>
      </c>
    </row>
    <row r="45" spans="1:21">
      <c r="A45" t="s">
        <v>117</v>
      </c>
      <c r="B45">
        <v>22</v>
      </c>
      <c r="C45">
        <v>12</v>
      </c>
      <c r="D45">
        <v>2</v>
      </c>
      <c r="E45">
        <v>1</v>
      </c>
      <c r="F45" s="3" t="s">
        <v>69</v>
      </c>
      <c r="G45">
        <v>0</v>
      </c>
      <c r="H45" s="3" t="s">
        <v>51</v>
      </c>
      <c r="I45">
        <v>0</v>
      </c>
      <c r="J45">
        <v>0</v>
      </c>
      <c r="K45">
        <v>0</v>
      </c>
      <c r="L45">
        <v>0</v>
      </c>
      <c r="M45">
        <v>0.034551</v>
      </c>
      <c r="N45">
        <v>2</v>
      </c>
      <c r="O45" s="3" t="s">
        <v>107</v>
      </c>
      <c r="P45">
        <v>2</v>
      </c>
      <c r="Q45">
        <v>0.069198</v>
      </c>
      <c r="R45" s="1">
        <v>0.010427</v>
      </c>
      <c r="T45">
        <f t="shared" si="1"/>
        <v>0</v>
      </c>
      <c r="U45" s="1">
        <f t="shared" si="0"/>
        <v>1</v>
      </c>
    </row>
    <row r="46" spans="1:21">
      <c r="A46" t="s">
        <v>118</v>
      </c>
      <c r="B46">
        <v>62</v>
      </c>
      <c r="C46">
        <v>442</v>
      </c>
      <c r="D46">
        <v>22</v>
      </c>
      <c r="E46">
        <v>207</v>
      </c>
      <c r="F46" s="3" t="s">
        <v>188</v>
      </c>
      <c r="G46">
        <v>168</v>
      </c>
      <c r="H46">
        <v>0.000387</v>
      </c>
      <c r="I46">
        <v>168</v>
      </c>
      <c r="J46">
        <v>0.012299</v>
      </c>
      <c r="K46">
        <v>15</v>
      </c>
      <c r="L46">
        <v>0</v>
      </c>
      <c r="M46">
        <v>0.011507</v>
      </c>
      <c r="N46">
        <v>16</v>
      </c>
      <c r="O46" s="3" t="s">
        <v>119</v>
      </c>
      <c r="P46">
        <v>16</v>
      </c>
      <c r="Q46">
        <v>0.036857</v>
      </c>
      <c r="R46" s="1">
        <v>0.017489</v>
      </c>
      <c r="T46">
        <f t="shared" si="1"/>
        <v>0</v>
      </c>
      <c r="U46" s="1">
        <f t="shared" si="0"/>
        <v>1</v>
      </c>
    </row>
    <row r="47" spans="1:21">
      <c r="A47" t="s">
        <v>120</v>
      </c>
      <c r="B47">
        <v>21</v>
      </c>
      <c r="C47">
        <v>23</v>
      </c>
      <c r="D47">
        <v>6</v>
      </c>
      <c r="E47">
        <v>15</v>
      </c>
      <c r="F47" s="3" t="s">
        <v>116</v>
      </c>
      <c r="G47">
        <v>15</v>
      </c>
      <c r="H47" s="3" t="s">
        <v>83</v>
      </c>
      <c r="I47">
        <v>15</v>
      </c>
      <c r="J47" s="3" t="s">
        <v>51</v>
      </c>
      <c r="K47">
        <v>1</v>
      </c>
      <c r="L47">
        <v>0</v>
      </c>
      <c r="M47">
        <v>0.007728</v>
      </c>
      <c r="N47">
        <v>5</v>
      </c>
      <c r="O47" s="3" t="s">
        <v>111</v>
      </c>
      <c r="P47">
        <v>5</v>
      </c>
      <c r="Q47">
        <v>0.019932</v>
      </c>
      <c r="R47" s="1">
        <v>0.009054</v>
      </c>
      <c r="T47">
        <f t="shared" si="1"/>
        <v>0</v>
      </c>
      <c r="U47" s="1">
        <f t="shared" si="0"/>
        <v>1</v>
      </c>
    </row>
    <row r="48" spans="1:21">
      <c r="A48" t="s">
        <v>122</v>
      </c>
      <c r="B48">
        <v>10</v>
      </c>
      <c r="C48">
        <v>5</v>
      </c>
      <c r="D48">
        <v>0</v>
      </c>
      <c r="E48">
        <v>0</v>
      </c>
      <c r="F48" s="3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3" t="s">
        <v>57</v>
      </c>
      <c r="N48">
        <v>2</v>
      </c>
      <c r="O48" s="3" t="s">
        <v>69</v>
      </c>
      <c r="P48">
        <v>2</v>
      </c>
      <c r="Q48">
        <v>0.010221</v>
      </c>
      <c r="R48" s="1">
        <v>0.0056</v>
      </c>
      <c r="T48">
        <f t="shared" si="1"/>
        <v>0</v>
      </c>
      <c r="U48" s="1">
        <f t="shared" si="0"/>
        <v>1</v>
      </c>
    </row>
    <row r="49" spans="1:21">
      <c r="A49" t="s">
        <v>123</v>
      </c>
      <c r="B49">
        <v>27</v>
      </c>
      <c r="C49">
        <v>26</v>
      </c>
      <c r="D49">
        <v>12</v>
      </c>
      <c r="E49">
        <v>16</v>
      </c>
      <c r="F49" s="3" t="s">
        <v>107</v>
      </c>
      <c r="G49">
        <v>13</v>
      </c>
      <c r="H49" s="3" t="s">
        <v>109</v>
      </c>
      <c r="I49">
        <v>10</v>
      </c>
      <c r="J49">
        <v>0.001951</v>
      </c>
      <c r="K49">
        <v>4</v>
      </c>
      <c r="L49">
        <v>1</v>
      </c>
      <c r="M49">
        <v>0.010032</v>
      </c>
      <c r="N49">
        <v>2</v>
      </c>
      <c r="O49" s="3" t="s">
        <v>121</v>
      </c>
      <c r="P49">
        <v>3</v>
      </c>
      <c r="Q49">
        <v>0.028832</v>
      </c>
      <c r="R49" s="1">
        <v>0.009417</v>
      </c>
      <c r="T49">
        <f t="shared" si="1"/>
        <v>0</v>
      </c>
      <c r="U49" s="1">
        <f t="shared" si="0"/>
        <v>1</v>
      </c>
    </row>
    <row r="50" spans="1:21">
      <c r="A50" t="s">
        <v>124</v>
      </c>
      <c r="B50">
        <v>273</v>
      </c>
      <c r="C50">
        <v>4510</v>
      </c>
      <c r="D50">
        <v>91</v>
      </c>
      <c r="E50">
        <v>2568</v>
      </c>
      <c r="F50">
        <v>0.000327</v>
      </c>
      <c r="G50">
        <v>2461</v>
      </c>
      <c r="H50">
        <v>0.009982</v>
      </c>
      <c r="I50">
        <v>2449</v>
      </c>
      <c r="J50">
        <v>1.11412</v>
      </c>
      <c r="K50">
        <v>987</v>
      </c>
      <c r="L50">
        <v>1</v>
      </c>
      <c r="M50">
        <v>0.226669</v>
      </c>
      <c r="N50">
        <v>32</v>
      </c>
      <c r="O50">
        <v>0.00062</v>
      </c>
      <c r="P50">
        <v>39</v>
      </c>
      <c r="Q50">
        <v>1.39169</v>
      </c>
      <c r="R50" s="1">
        <v>0.914891</v>
      </c>
      <c r="T50">
        <f t="shared" si="1"/>
        <v>0</v>
      </c>
      <c r="U50" s="1">
        <f t="shared" si="0"/>
        <v>1</v>
      </c>
    </row>
    <row r="51" spans="1:21">
      <c r="A51" t="s">
        <v>125</v>
      </c>
      <c r="B51">
        <v>102</v>
      </c>
      <c r="C51">
        <v>108</v>
      </c>
      <c r="D51">
        <v>11</v>
      </c>
      <c r="E51">
        <v>33</v>
      </c>
      <c r="F51" s="3" t="s">
        <v>121</v>
      </c>
      <c r="G51">
        <v>33</v>
      </c>
      <c r="H51" s="3" t="s">
        <v>84</v>
      </c>
      <c r="I51">
        <v>33</v>
      </c>
      <c r="J51">
        <v>0.002728</v>
      </c>
      <c r="K51">
        <v>8</v>
      </c>
      <c r="L51">
        <v>0</v>
      </c>
      <c r="M51">
        <v>0.009609</v>
      </c>
      <c r="N51">
        <v>4</v>
      </c>
      <c r="O51" s="3" t="s">
        <v>126</v>
      </c>
      <c r="P51">
        <v>5</v>
      </c>
      <c r="Q51">
        <v>0.024322</v>
      </c>
      <c r="R51" s="1">
        <v>0.00911</v>
      </c>
      <c r="T51">
        <f t="shared" si="1"/>
        <v>0</v>
      </c>
      <c r="U51" s="1">
        <f t="shared" si="0"/>
        <v>1</v>
      </c>
    </row>
    <row r="52" spans="1:21">
      <c r="A52" t="s">
        <v>127</v>
      </c>
      <c r="B52">
        <v>8</v>
      </c>
      <c r="C52">
        <v>4</v>
      </c>
      <c r="D52">
        <v>0</v>
      </c>
      <c r="E52">
        <v>0</v>
      </c>
      <c r="F52" s="3" t="s">
        <v>57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3" t="s">
        <v>51</v>
      </c>
      <c r="N52">
        <v>2</v>
      </c>
      <c r="O52" s="3" t="s">
        <v>57</v>
      </c>
      <c r="P52">
        <v>2</v>
      </c>
      <c r="Q52">
        <v>0.006675</v>
      </c>
      <c r="R52" s="1">
        <v>0.00565</v>
      </c>
      <c r="T52">
        <f t="shared" si="1"/>
        <v>0</v>
      </c>
      <c r="U52" s="1">
        <f t="shared" si="0"/>
        <v>1</v>
      </c>
    </row>
    <row r="53" spans="1:21">
      <c r="A53" t="s">
        <v>128</v>
      </c>
      <c r="B53">
        <v>55</v>
      </c>
      <c r="C53">
        <v>60</v>
      </c>
      <c r="D53">
        <v>8</v>
      </c>
      <c r="E53">
        <v>20</v>
      </c>
      <c r="F53" s="3" t="s">
        <v>107</v>
      </c>
      <c r="G53">
        <v>10</v>
      </c>
      <c r="H53" s="3" t="s">
        <v>126</v>
      </c>
      <c r="I53">
        <v>10</v>
      </c>
      <c r="J53">
        <v>0.001043</v>
      </c>
      <c r="K53">
        <v>4</v>
      </c>
      <c r="L53">
        <v>0</v>
      </c>
      <c r="M53">
        <v>0.003606</v>
      </c>
      <c r="N53">
        <v>4</v>
      </c>
      <c r="O53" s="3" t="s">
        <v>121</v>
      </c>
      <c r="P53">
        <v>4</v>
      </c>
      <c r="Q53">
        <v>0.010535</v>
      </c>
      <c r="R53" s="1">
        <v>0.013368</v>
      </c>
      <c r="T53">
        <f t="shared" si="1"/>
        <v>1</v>
      </c>
      <c r="U53" s="1">
        <f t="shared" si="0"/>
        <v>0</v>
      </c>
    </row>
    <row r="54" spans="1:21">
      <c r="A54" t="s">
        <v>129</v>
      </c>
      <c r="B54">
        <v>127</v>
      </c>
      <c r="C54">
        <v>931</v>
      </c>
      <c r="D54">
        <v>38</v>
      </c>
      <c r="E54">
        <v>449</v>
      </c>
      <c r="F54" s="3" t="s">
        <v>189</v>
      </c>
      <c r="G54">
        <v>408</v>
      </c>
      <c r="H54">
        <v>0.000715</v>
      </c>
      <c r="I54">
        <v>408</v>
      </c>
      <c r="J54">
        <v>0.030093</v>
      </c>
      <c r="K54">
        <v>96</v>
      </c>
      <c r="L54">
        <v>0</v>
      </c>
      <c r="M54">
        <v>0.011247</v>
      </c>
      <c r="N54">
        <v>16</v>
      </c>
      <c r="O54" s="3" t="s">
        <v>43</v>
      </c>
      <c r="P54">
        <v>17</v>
      </c>
      <c r="Q54">
        <v>0.05074</v>
      </c>
      <c r="R54" s="1">
        <v>0.032138</v>
      </c>
      <c r="T54">
        <f t="shared" si="1"/>
        <v>0</v>
      </c>
      <c r="U54" s="1">
        <f t="shared" si="0"/>
        <v>1</v>
      </c>
    </row>
    <row r="55" spans="1:21">
      <c r="A55" t="s">
        <v>131</v>
      </c>
      <c r="B55">
        <v>16</v>
      </c>
      <c r="C55">
        <v>13</v>
      </c>
      <c r="D55">
        <v>5</v>
      </c>
      <c r="E55">
        <v>5</v>
      </c>
      <c r="F55" s="3" t="s">
        <v>51</v>
      </c>
      <c r="G55">
        <v>5</v>
      </c>
      <c r="H55" s="3" t="s">
        <v>69</v>
      </c>
      <c r="I55">
        <v>5</v>
      </c>
      <c r="J55">
        <v>0</v>
      </c>
      <c r="K55">
        <v>2</v>
      </c>
      <c r="L55">
        <v>1</v>
      </c>
      <c r="M55">
        <v>0.004502</v>
      </c>
      <c r="N55">
        <v>2</v>
      </c>
      <c r="O55" s="3" t="s">
        <v>69</v>
      </c>
      <c r="P55">
        <v>2</v>
      </c>
      <c r="Q55">
        <v>0.010746</v>
      </c>
      <c r="R55" s="1">
        <v>0.014672</v>
      </c>
      <c r="T55">
        <f t="shared" si="1"/>
        <v>1</v>
      </c>
      <c r="U55" s="1">
        <f t="shared" si="0"/>
        <v>0</v>
      </c>
    </row>
    <row r="56" spans="1:21">
      <c r="A56" t="s">
        <v>132</v>
      </c>
      <c r="B56">
        <v>35</v>
      </c>
      <c r="C56">
        <v>368</v>
      </c>
      <c r="D56">
        <v>27</v>
      </c>
      <c r="E56">
        <v>351</v>
      </c>
      <c r="F56" s="3" t="s">
        <v>40</v>
      </c>
      <c r="G56">
        <v>351</v>
      </c>
      <c r="H56">
        <v>0.000734</v>
      </c>
      <c r="I56">
        <v>351</v>
      </c>
      <c r="J56" s="3" t="s">
        <v>109</v>
      </c>
      <c r="K56">
        <v>1</v>
      </c>
      <c r="L56">
        <v>0</v>
      </c>
      <c r="M56">
        <v>0.014004</v>
      </c>
      <c r="N56">
        <v>26</v>
      </c>
      <c r="O56" s="3" t="s">
        <v>183</v>
      </c>
      <c r="P56">
        <v>26</v>
      </c>
      <c r="Q56">
        <v>0.024896</v>
      </c>
      <c r="R56" s="1">
        <v>0.014096</v>
      </c>
      <c r="T56">
        <f t="shared" si="1"/>
        <v>0</v>
      </c>
      <c r="U56" s="1">
        <f t="shared" si="0"/>
        <v>1</v>
      </c>
    </row>
    <row r="57" spans="1:21">
      <c r="A57" t="s">
        <v>134</v>
      </c>
      <c r="B57">
        <v>26</v>
      </c>
      <c r="C57">
        <v>15</v>
      </c>
      <c r="D57">
        <v>3</v>
      </c>
      <c r="E57">
        <v>1</v>
      </c>
      <c r="F57" s="3" t="s">
        <v>116</v>
      </c>
      <c r="G57">
        <v>0</v>
      </c>
      <c r="H57" s="3" t="s">
        <v>69</v>
      </c>
      <c r="I57">
        <v>0</v>
      </c>
      <c r="J57">
        <v>0</v>
      </c>
      <c r="K57">
        <v>0</v>
      </c>
      <c r="L57">
        <v>0</v>
      </c>
      <c r="M57">
        <v>0.00456</v>
      </c>
      <c r="N57">
        <v>2</v>
      </c>
      <c r="O57" s="3" t="s">
        <v>83</v>
      </c>
      <c r="P57">
        <v>2</v>
      </c>
      <c r="Q57">
        <v>0.054839</v>
      </c>
      <c r="R57" s="1">
        <v>0.029752</v>
      </c>
      <c r="T57">
        <f t="shared" si="1"/>
        <v>0</v>
      </c>
      <c r="U57" s="1">
        <f t="shared" si="0"/>
        <v>1</v>
      </c>
    </row>
    <row r="58" spans="1:21">
      <c r="A58" t="s">
        <v>135</v>
      </c>
      <c r="B58">
        <v>14</v>
      </c>
      <c r="C58">
        <v>11</v>
      </c>
      <c r="D58">
        <v>5</v>
      </c>
      <c r="E58">
        <v>3</v>
      </c>
      <c r="F58" s="3" t="s">
        <v>69</v>
      </c>
      <c r="G58">
        <v>3</v>
      </c>
      <c r="H58" s="3" t="s">
        <v>69</v>
      </c>
      <c r="I58">
        <v>3</v>
      </c>
      <c r="J58">
        <v>0</v>
      </c>
      <c r="K58">
        <v>1</v>
      </c>
      <c r="L58">
        <v>0</v>
      </c>
      <c r="M58">
        <v>0.004745</v>
      </c>
      <c r="N58">
        <v>2</v>
      </c>
      <c r="O58" s="3" t="s">
        <v>116</v>
      </c>
      <c r="P58">
        <v>2</v>
      </c>
      <c r="Q58">
        <v>0.011877</v>
      </c>
      <c r="R58" s="1">
        <v>0.014453</v>
      </c>
      <c r="T58">
        <f t="shared" si="1"/>
        <v>1</v>
      </c>
      <c r="U58" s="1">
        <f t="shared" si="0"/>
        <v>0</v>
      </c>
    </row>
    <row r="59" spans="1:21">
      <c r="A59" t="s">
        <v>136</v>
      </c>
      <c r="B59">
        <v>28</v>
      </c>
      <c r="C59">
        <v>91</v>
      </c>
      <c r="D59">
        <v>12</v>
      </c>
      <c r="E59">
        <v>55</v>
      </c>
      <c r="F59" s="3" t="s">
        <v>22</v>
      </c>
      <c r="G59">
        <v>55</v>
      </c>
      <c r="H59" s="3" t="s">
        <v>190</v>
      </c>
      <c r="I59">
        <v>55</v>
      </c>
      <c r="J59">
        <v>0.001221</v>
      </c>
      <c r="K59">
        <v>21</v>
      </c>
      <c r="L59">
        <v>0</v>
      </c>
      <c r="M59">
        <v>0.006426</v>
      </c>
      <c r="N59">
        <v>7</v>
      </c>
      <c r="O59" s="3" t="s">
        <v>103</v>
      </c>
      <c r="P59">
        <v>7</v>
      </c>
      <c r="Q59">
        <v>0.0162</v>
      </c>
      <c r="R59" s="1">
        <v>0.008124</v>
      </c>
      <c r="T59">
        <f t="shared" si="1"/>
        <v>0</v>
      </c>
      <c r="U59" s="1">
        <f t="shared" si="0"/>
        <v>1</v>
      </c>
    </row>
    <row r="60" spans="1:21">
      <c r="A60" t="s">
        <v>138</v>
      </c>
      <c r="B60">
        <v>26</v>
      </c>
      <c r="C60">
        <v>18</v>
      </c>
      <c r="D60">
        <v>6</v>
      </c>
      <c r="E60">
        <v>6</v>
      </c>
      <c r="F60" s="3" t="s">
        <v>26</v>
      </c>
      <c r="G60">
        <v>5</v>
      </c>
      <c r="H60" s="3" t="s">
        <v>107</v>
      </c>
      <c r="I60">
        <v>4</v>
      </c>
      <c r="J60">
        <v>0.00098</v>
      </c>
      <c r="K60">
        <v>1</v>
      </c>
      <c r="L60">
        <v>0</v>
      </c>
      <c r="M60">
        <v>0.005222</v>
      </c>
      <c r="N60">
        <v>2</v>
      </c>
      <c r="O60" s="3" t="s">
        <v>116</v>
      </c>
      <c r="P60">
        <v>2</v>
      </c>
      <c r="Q60">
        <v>0.013665</v>
      </c>
      <c r="R60" s="1">
        <v>0.025471</v>
      </c>
      <c r="T60">
        <f t="shared" si="1"/>
        <v>1</v>
      </c>
      <c r="U60" s="1">
        <f t="shared" si="0"/>
        <v>0</v>
      </c>
    </row>
    <row r="61" spans="1:21">
      <c r="A61" t="s">
        <v>139</v>
      </c>
      <c r="B61">
        <v>13</v>
      </c>
      <c r="C61">
        <v>8</v>
      </c>
      <c r="D61">
        <v>2</v>
      </c>
      <c r="E61">
        <v>1</v>
      </c>
      <c r="F61" s="3" t="s">
        <v>69</v>
      </c>
      <c r="G61">
        <v>0</v>
      </c>
      <c r="H61" s="3" t="s">
        <v>69</v>
      </c>
      <c r="I61">
        <v>0</v>
      </c>
      <c r="J61">
        <v>0</v>
      </c>
      <c r="K61">
        <v>0</v>
      </c>
      <c r="L61">
        <v>0</v>
      </c>
      <c r="M61">
        <v>0.003309</v>
      </c>
      <c r="N61">
        <v>2</v>
      </c>
      <c r="O61" s="3" t="s">
        <v>116</v>
      </c>
      <c r="P61">
        <v>2</v>
      </c>
      <c r="Q61">
        <v>0.011858</v>
      </c>
      <c r="R61" s="1">
        <v>0.010107</v>
      </c>
      <c r="T61">
        <f t="shared" si="1"/>
        <v>0</v>
      </c>
      <c r="U61" s="1">
        <f t="shared" si="0"/>
        <v>1</v>
      </c>
    </row>
    <row r="62" spans="1:21">
      <c r="A62" t="s">
        <v>140</v>
      </c>
      <c r="B62">
        <v>18</v>
      </c>
      <c r="C62">
        <v>12</v>
      </c>
      <c r="D62">
        <v>5</v>
      </c>
      <c r="E62">
        <v>3</v>
      </c>
      <c r="F62" s="3" t="s">
        <v>51</v>
      </c>
      <c r="G62">
        <v>3</v>
      </c>
      <c r="H62" s="3" t="s">
        <v>26</v>
      </c>
      <c r="I62">
        <v>3</v>
      </c>
      <c r="J62">
        <v>0</v>
      </c>
      <c r="K62">
        <v>1</v>
      </c>
      <c r="L62">
        <v>0</v>
      </c>
      <c r="M62">
        <v>0.00419</v>
      </c>
      <c r="N62">
        <v>2</v>
      </c>
      <c r="O62" s="3" t="s">
        <v>26</v>
      </c>
      <c r="P62">
        <v>2</v>
      </c>
      <c r="Q62">
        <v>0.018603</v>
      </c>
      <c r="R62" s="1">
        <v>0.021572</v>
      </c>
      <c r="T62">
        <f t="shared" si="1"/>
        <v>1</v>
      </c>
      <c r="U62" s="1">
        <f t="shared" si="0"/>
        <v>0</v>
      </c>
    </row>
    <row r="63" spans="1:21">
      <c r="A63" t="s">
        <v>141</v>
      </c>
      <c r="B63">
        <v>7</v>
      </c>
      <c r="C63">
        <v>5</v>
      </c>
      <c r="D63">
        <v>3</v>
      </c>
      <c r="E63">
        <v>3</v>
      </c>
      <c r="F63" s="3" t="s">
        <v>57</v>
      </c>
      <c r="G63">
        <v>3</v>
      </c>
      <c r="H63" s="3" t="s">
        <v>51</v>
      </c>
      <c r="I63">
        <v>3</v>
      </c>
      <c r="J63">
        <v>0</v>
      </c>
      <c r="K63">
        <v>1</v>
      </c>
      <c r="L63">
        <v>0</v>
      </c>
      <c r="M63">
        <v>0.008134</v>
      </c>
      <c r="N63">
        <v>2</v>
      </c>
      <c r="O63" s="3" t="s">
        <v>51</v>
      </c>
      <c r="P63">
        <v>2</v>
      </c>
      <c r="Q63">
        <v>0.017398</v>
      </c>
      <c r="R63" s="1">
        <v>0.016383</v>
      </c>
      <c r="T63">
        <f t="shared" si="1"/>
        <v>0</v>
      </c>
      <c r="U63" s="1">
        <f t="shared" si="0"/>
        <v>1</v>
      </c>
    </row>
    <row r="64" spans="1:21">
      <c r="A64" t="s">
        <v>142</v>
      </c>
      <c r="B64">
        <v>2623</v>
      </c>
      <c r="C64">
        <v>473614</v>
      </c>
      <c r="D64">
        <v>1174</v>
      </c>
      <c r="E64">
        <v>431300</v>
      </c>
      <c r="F64">
        <v>0.089895</v>
      </c>
      <c r="G64">
        <v>-1</v>
      </c>
      <c r="H64">
        <v>59.3263</v>
      </c>
      <c r="I64">
        <v>-1</v>
      </c>
      <c r="J64">
        <v>-1</v>
      </c>
      <c r="K64">
        <v>0</v>
      </c>
      <c r="L64">
        <v>0</v>
      </c>
      <c r="M64">
        <v>-1</v>
      </c>
      <c r="N64">
        <v>239</v>
      </c>
      <c r="O64">
        <v>1.38762</v>
      </c>
      <c r="P64">
        <v>239</v>
      </c>
      <c r="Q64">
        <v>600</v>
      </c>
      <c r="R64" s="1">
        <v>600</v>
      </c>
      <c r="T64">
        <f t="shared" si="1"/>
        <v>0</v>
      </c>
      <c r="U64" s="1">
        <f t="shared" si="0"/>
        <v>0</v>
      </c>
    </row>
    <row r="65" spans="1:21">
      <c r="A65" t="s">
        <v>143</v>
      </c>
      <c r="B65">
        <v>56739</v>
      </c>
      <c r="C65">
        <v>212945</v>
      </c>
      <c r="D65">
        <v>5850</v>
      </c>
      <c r="E65">
        <v>86214</v>
      </c>
      <c r="F65">
        <v>0.017787</v>
      </c>
      <c r="G65">
        <v>30948</v>
      </c>
      <c r="H65">
        <v>0.194632</v>
      </c>
      <c r="I65">
        <v>30745</v>
      </c>
      <c r="J65">
        <v>0.580359</v>
      </c>
      <c r="K65">
        <v>536</v>
      </c>
      <c r="L65">
        <v>0</v>
      </c>
      <c r="M65">
        <v>-1</v>
      </c>
      <c r="N65">
        <v>10</v>
      </c>
      <c r="O65">
        <v>0.019479</v>
      </c>
      <c r="P65">
        <v>10</v>
      </c>
      <c r="Q65">
        <v>600</v>
      </c>
      <c r="R65" s="1">
        <v>600</v>
      </c>
      <c r="T65">
        <f t="shared" si="1"/>
        <v>0</v>
      </c>
      <c r="U65" s="1">
        <f t="shared" si="0"/>
        <v>0</v>
      </c>
    </row>
    <row r="66" spans="1:21">
      <c r="A66" t="s">
        <v>144</v>
      </c>
      <c r="B66">
        <v>62</v>
      </c>
      <c r="C66">
        <v>159</v>
      </c>
      <c r="D66">
        <v>31</v>
      </c>
      <c r="E66">
        <v>90</v>
      </c>
      <c r="F66" s="3" t="s">
        <v>186</v>
      </c>
      <c r="G66">
        <v>0</v>
      </c>
      <c r="H66" s="3" t="s">
        <v>191</v>
      </c>
      <c r="I66">
        <v>0</v>
      </c>
      <c r="J66">
        <v>0</v>
      </c>
      <c r="K66">
        <v>0</v>
      </c>
      <c r="L66">
        <v>0</v>
      </c>
      <c r="M66">
        <v>0.009637</v>
      </c>
      <c r="N66">
        <v>5</v>
      </c>
      <c r="O66" s="3" t="s">
        <v>44</v>
      </c>
      <c r="P66">
        <v>5</v>
      </c>
      <c r="Q66">
        <v>0.019069</v>
      </c>
      <c r="R66" s="1">
        <v>0.007993</v>
      </c>
      <c r="T66">
        <f t="shared" ref="T66:T96" si="2">IF(Q66&lt;R66,1,0)</f>
        <v>0</v>
      </c>
      <c r="U66" s="1">
        <f t="shared" ref="U66:U96" si="3">IF(R66&lt;Q66,1,0)</f>
        <v>1</v>
      </c>
    </row>
    <row r="67" spans="1:21">
      <c r="A67" t="s">
        <v>145</v>
      </c>
      <c r="B67">
        <v>154908</v>
      </c>
      <c r="C67">
        <v>327162</v>
      </c>
      <c r="D67">
        <v>20530</v>
      </c>
      <c r="E67">
        <v>153162</v>
      </c>
      <c r="F67">
        <v>0.036609</v>
      </c>
      <c r="G67">
        <v>11032</v>
      </c>
      <c r="H67">
        <v>0.130731</v>
      </c>
      <c r="I67">
        <v>10550</v>
      </c>
      <c r="J67">
        <v>0.09401</v>
      </c>
      <c r="K67">
        <v>1367</v>
      </c>
      <c r="L67">
        <v>949</v>
      </c>
      <c r="M67">
        <v>170.918</v>
      </c>
      <c r="N67">
        <v>4</v>
      </c>
      <c r="O67">
        <v>0.032256</v>
      </c>
      <c r="P67">
        <v>4</v>
      </c>
      <c r="Q67">
        <v>171.431</v>
      </c>
      <c r="R67" s="1">
        <v>600</v>
      </c>
      <c r="T67">
        <f t="shared" si="2"/>
        <v>1</v>
      </c>
      <c r="U67" s="1">
        <f t="shared" si="3"/>
        <v>0</v>
      </c>
    </row>
    <row r="68" spans="1:21">
      <c r="A68" t="s">
        <v>146</v>
      </c>
      <c r="B68">
        <v>26588</v>
      </c>
      <c r="C68">
        <v>100120</v>
      </c>
      <c r="D68">
        <v>4510</v>
      </c>
      <c r="E68">
        <v>60220</v>
      </c>
      <c r="F68">
        <v>0.015501</v>
      </c>
      <c r="G68">
        <v>20835</v>
      </c>
      <c r="H68">
        <v>0.161965</v>
      </c>
      <c r="I68">
        <v>20517</v>
      </c>
      <c r="J68">
        <v>0.258763</v>
      </c>
      <c r="K68">
        <v>515</v>
      </c>
      <c r="L68">
        <v>0</v>
      </c>
      <c r="M68">
        <v>-1</v>
      </c>
      <c r="N68">
        <v>7</v>
      </c>
      <c r="O68">
        <v>0.014053</v>
      </c>
      <c r="P68">
        <v>7</v>
      </c>
      <c r="Q68">
        <v>600</v>
      </c>
      <c r="R68" s="1">
        <v>600</v>
      </c>
      <c r="T68">
        <f t="shared" si="2"/>
        <v>0</v>
      </c>
      <c r="U68" s="1">
        <f t="shared" si="3"/>
        <v>0</v>
      </c>
    </row>
    <row r="69" spans="1:21">
      <c r="A69" t="s">
        <v>147</v>
      </c>
      <c r="B69">
        <v>22900</v>
      </c>
      <c r="C69">
        <v>852419</v>
      </c>
      <c r="D69">
        <v>18142</v>
      </c>
      <c r="E69">
        <v>817998</v>
      </c>
      <c r="F69">
        <v>0.222564</v>
      </c>
      <c r="G69">
        <v>304728</v>
      </c>
      <c r="H69">
        <v>6.62945</v>
      </c>
      <c r="I69">
        <v>304384</v>
      </c>
      <c r="J69">
        <v>0.554952</v>
      </c>
      <c r="K69">
        <v>351</v>
      </c>
      <c r="L69">
        <v>0</v>
      </c>
      <c r="M69">
        <v>-1</v>
      </c>
      <c r="N69">
        <v>17</v>
      </c>
      <c r="O69">
        <v>0.23066</v>
      </c>
      <c r="P69">
        <v>17</v>
      </c>
      <c r="Q69">
        <v>600</v>
      </c>
      <c r="R69" s="1">
        <v>600</v>
      </c>
      <c r="T69">
        <f t="shared" si="2"/>
        <v>0</v>
      </c>
      <c r="U69" s="1">
        <f t="shared" si="3"/>
        <v>0</v>
      </c>
    </row>
    <row r="70" spans="1:21">
      <c r="A70" t="s">
        <v>148</v>
      </c>
      <c r="B70">
        <v>6621</v>
      </c>
      <c r="C70">
        <v>249959</v>
      </c>
      <c r="D70">
        <v>5059</v>
      </c>
      <c r="E70">
        <v>237407</v>
      </c>
      <c r="F70">
        <v>0.038779</v>
      </c>
      <c r="G70">
        <v>117478</v>
      </c>
      <c r="H70">
        <v>1.54141</v>
      </c>
      <c r="I70">
        <v>117132</v>
      </c>
      <c r="J70">
        <v>0.642895</v>
      </c>
      <c r="K70">
        <v>318</v>
      </c>
      <c r="L70">
        <v>0</v>
      </c>
      <c r="M70">
        <v>-1</v>
      </c>
      <c r="N70">
        <v>19</v>
      </c>
      <c r="O70">
        <v>0.038578</v>
      </c>
      <c r="P70">
        <v>19</v>
      </c>
      <c r="Q70">
        <v>600</v>
      </c>
      <c r="R70" s="1">
        <v>600</v>
      </c>
      <c r="T70">
        <f t="shared" si="2"/>
        <v>0</v>
      </c>
      <c r="U70" s="1">
        <f t="shared" si="3"/>
        <v>0</v>
      </c>
    </row>
    <row r="71" spans="1:21">
      <c r="A71" t="s">
        <v>149</v>
      </c>
      <c r="B71">
        <v>9885</v>
      </c>
      <c r="C71">
        <v>506437</v>
      </c>
      <c r="D71">
        <v>8294</v>
      </c>
      <c r="E71">
        <v>496637</v>
      </c>
      <c r="F71">
        <v>0.092417</v>
      </c>
      <c r="G71">
        <v>322615</v>
      </c>
      <c r="H71">
        <v>4.07439</v>
      </c>
      <c r="I71">
        <v>322245</v>
      </c>
      <c r="J71">
        <v>0.479613</v>
      </c>
      <c r="K71">
        <v>285</v>
      </c>
      <c r="L71">
        <v>0</v>
      </c>
      <c r="M71">
        <v>-1</v>
      </c>
      <c r="N71">
        <v>16</v>
      </c>
      <c r="O71">
        <v>0.097071</v>
      </c>
      <c r="P71">
        <v>16</v>
      </c>
      <c r="Q71">
        <v>600</v>
      </c>
      <c r="R71" s="1">
        <v>600</v>
      </c>
      <c r="T71">
        <f t="shared" si="2"/>
        <v>0</v>
      </c>
      <c r="U71" s="1">
        <f t="shared" si="3"/>
        <v>0</v>
      </c>
    </row>
    <row r="72" spans="1:21">
      <c r="A72" t="s">
        <v>150</v>
      </c>
      <c r="B72">
        <v>6402</v>
      </c>
      <c r="C72">
        <v>251230</v>
      </c>
      <c r="D72">
        <v>4795</v>
      </c>
      <c r="E72">
        <v>239929</v>
      </c>
      <c r="F72">
        <v>0.045677</v>
      </c>
      <c r="G72">
        <v>126031</v>
      </c>
      <c r="H72">
        <v>1.7741</v>
      </c>
      <c r="I72">
        <v>125653</v>
      </c>
      <c r="J72">
        <v>0.51003</v>
      </c>
      <c r="K72">
        <v>275</v>
      </c>
      <c r="L72">
        <v>0</v>
      </c>
      <c r="M72">
        <v>-1</v>
      </c>
      <c r="N72">
        <v>19</v>
      </c>
      <c r="O72">
        <v>0.043894</v>
      </c>
      <c r="P72">
        <v>19</v>
      </c>
      <c r="Q72">
        <v>600</v>
      </c>
      <c r="R72" s="1">
        <v>600</v>
      </c>
      <c r="T72">
        <f t="shared" si="2"/>
        <v>0</v>
      </c>
      <c r="U72" s="1">
        <f t="shared" si="3"/>
        <v>0</v>
      </c>
    </row>
    <row r="73" spans="1:21">
      <c r="A73" t="s">
        <v>151</v>
      </c>
      <c r="B73">
        <v>63392</v>
      </c>
      <c r="C73">
        <v>816886</v>
      </c>
      <c r="D73">
        <v>25076</v>
      </c>
      <c r="E73">
        <v>645917</v>
      </c>
      <c r="F73">
        <v>0.125761</v>
      </c>
      <c r="G73">
        <v>249921</v>
      </c>
      <c r="H73">
        <v>2.31448</v>
      </c>
      <c r="I73">
        <v>249563</v>
      </c>
      <c r="J73">
        <v>0.319993</v>
      </c>
      <c r="K73">
        <v>320</v>
      </c>
      <c r="L73">
        <v>0</v>
      </c>
      <c r="M73">
        <v>-1</v>
      </c>
      <c r="N73">
        <v>13</v>
      </c>
      <c r="O73">
        <v>0.125249</v>
      </c>
      <c r="P73">
        <v>13</v>
      </c>
      <c r="Q73">
        <v>600</v>
      </c>
      <c r="R73" s="1">
        <v>600</v>
      </c>
      <c r="T73">
        <f t="shared" si="2"/>
        <v>0</v>
      </c>
      <c r="U73" s="1">
        <f t="shared" si="3"/>
        <v>0</v>
      </c>
    </row>
    <row r="74" spans="1:21">
      <c r="A74" t="s">
        <v>152</v>
      </c>
      <c r="B74">
        <v>11586</v>
      </c>
      <c r="C74">
        <v>568309</v>
      </c>
      <c r="D74">
        <v>8396</v>
      </c>
      <c r="E74">
        <v>545312</v>
      </c>
      <c r="F74">
        <v>0.107308</v>
      </c>
      <c r="G74">
        <v>316704</v>
      </c>
      <c r="H74">
        <v>5.08748</v>
      </c>
      <c r="I74">
        <v>316329</v>
      </c>
      <c r="J74">
        <v>0.681046</v>
      </c>
      <c r="K74">
        <v>305</v>
      </c>
      <c r="L74">
        <v>0</v>
      </c>
      <c r="M74">
        <v>-1</v>
      </c>
      <c r="N74">
        <v>19</v>
      </c>
      <c r="O74">
        <v>0.128301</v>
      </c>
      <c r="P74">
        <v>19</v>
      </c>
      <c r="Q74">
        <v>600</v>
      </c>
      <c r="R74" s="1">
        <v>600</v>
      </c>
      <c r="T74">
        <f t="shared" si="2"/>
        <v>0</v>
      </c>
      <c r="U74" s="1">
        <f t="shared" si="3"/>
        <v>0</v>
      </c>
    </row>
    <row r="75" spans="1:21">
      <c r="A75" t="s">
        <v>153</v>
      </c>
      <c r="B75">
        <v>20453</v>
      </c>
      <c r="C75">
        <v>747604</v>
      </c>
      <c r="D75">
        <v>14557</v>
      </c>
      <c r="E75">
        <v>696736</v>
      </c>
      <c r="F75">
        <v>0.124671</v>
      </c>
      <c r="G75">
        <v>243279</v>
      </c>
      <c r="H75">
        <v>4.94823</v>
      </c>
      <c r="I75">
        <v>242901</v>
      </c>
      <c r="J75">
        <v>0.61952</v>
      </c>
      <c r="K75">
        <v>317</v>
      </c>
      <c r="L75">
        <v>0</v>
      </c>
      <c r="M75">
        <v>-1</v>
      </c>
      <c r="N75">
        <v>20</v>
      </c>
      <c r="O75">
        <v>0.132461</v>
      </c>
      <c r="P75">
        <v>20</v>
      </c>
      <c r="Q75">
        <v>600</v>
      </c>
      <c r="R75" s="1">
        <v>600</v>
      </c>
      <c r="T75">
        <f t="shared" si="2"/>
        <v>0</v>
      </c>
      <c r="U75" s="1">
        <f t="shared" si="3"/>
        <v>0</v>
      </c>
    </row>
    <row r="76" spans="1:21">
      <c r="A76" t="s">
        <v>154</v>
      </c>
      <c r="B76">
        <v>17206</v>
      </c>
      <c r="C76">
        <v>604867</v>
      </c>
      <c r="D76">
        <v>13968</v>
      </c>
      <c r="E76">
        <v>577744</v>
      </c>
      <c r="F76">
        <v>0.157698</v>
      </c>
      <c r="G76">
        <v>152776</v>
      </c>
      <c r="H76">
        <v>4.10275</v>
      </c>
      <c r="I76">
        <v>152430</v>
      </c>
      <c r="J76">
        <v>0.83165</v>
      </c>
      <c r="K76">
        <v>356</v>
      </c>
      <c r="L76">
        <v>0</v>
      </c>
      <c r="M76">
        <v>-1</v>
      </c>
      <c r="N76">
        <v>18</v>
      </c>
      <c r="O76">
        <v>0.152057</v>
      </c>
      <c r="P76">
        <v>18</v>
      </c>
      <c r="Q76">
        <v>600</v>
      </c>
      <c r="R76" s="1">
        <v>600</v>
      </c>
      <c r="T76">
        <f t="shared" si="2"/>
        <v>0</v>
      </c>
      <c r="U76" s="1">
        <f t="shared" si="3"/>
        <v>0</v>
      </c>
    </row>
    <row r="77" spans="1:21">
      <c r="A77" t="s">
        <v>155</v>
      </c>
      <c r="B77">
        <v>14917</v>
      </c>
      <c r="C77">
        <v>482215</v>
      </c>
      <c r="D77">
        <v>10737</v>
      </c>
      <c r="E77">
        <v>442967</v>
      </c>
      <c r="F77">
        <v>0.078904</v>
      </c>
      <c r="G77">
        <v>117792</v>
      </c>
      <c r="H77">
        <v>2.55332</v>
      </c>
      <c r="I77">
        <v>117432</v>
      </c>
      <c r="J77">
        <v>0.935062</v>
      </c>
      <c r="K77">
        <v>330</v>
      </c>
      <c r="L77">
        <v>0</v>
      </c>
      <c r="M77">
        <v>-1</v>
      </c>
      <c r="N77">
        <v>21</v>
      </c>
      <c r="O77">
        <v>0.10386</v>
      </c>
      <c r="P77">
        <v>21</v>
      </c>
      <c r="Q77">
        <v>600</v>
      </c>
      <c r="R77" s="1">
        <v>600</v>
      </c>
      <c r="T77">
        <f t="shared" si="2"/>
        <v>0</v>
      </c>
      <c r="U77" s="1">
        <f t="shared" si="3"/>
        <v>0</v>
      </c>
    </row>
    <row r="78" spans="1:21">
      <c r="A78" t="s">
        <v>156</v>
      </c>
      <c r="B78">
        <v>23831</v>
      </c>
      <c r="C78">
        <v>835946</v>
      </c>
      <c r="D78">
        <v>19683</v>
      </c>
      <c r="E78">
        <v>805574</v>
      </c>
      <c r="F78">
        <v>0.150112</v>
      </c>
      <c r="G78">
        <v>289575</v>
      </c>
      <c r="H78">
        <v>5.70722</v>
      </c>
      <c r="I78">
        <v>289188</v>
      </c>
      <c r="J78">
        <v>0.635675</v>
      </c>
      <c r="K78">
        <v>299</v>
      </c>
      <c r="L78">
        <v>0</v>
      </c>
      <c r="M78">
        <v>-1</v>
      </c>
      <c r="N78">
        <v>16</v>
      </c>
      <c r="O78">
        <v>0.146892</v>
      </c>
      <c r="P78">
        <v>16</v>
      </c>
      <c r="Q78">
        <v>600</v>
      </c>
      <c r="R78" s="1">
        <v>600</v>
      </c>
      <c r="T78">
        <f t="shared" si="2"/>
        <v>0</v>
      </c>
      <c r="U78" s="1">
        <f t="shared" si="3"/>
        <v>0</v>
      </c>
    </row>
    <row r="79" spans="1:21">
      <c r="A79" t="s">
        <v>157</v>
      </c>
      <c r="B79">
        <v>196591</v>
      </c>
      <c r="C79">
        <v>950327</v>
      </c>
      <c r="D79">
        <v>32590</v>
      </c>
      <c r="E79">
        <v>510745</v>
      </c>
      <c r="F79">
        <v>0.132151</v>
      </c>
      <c r="G79">
        <v>204307</v>
      </c>
      <c r="H79">
        <v>2.03981</v>
      </c>
      <c r="I79">
        <v>203973</v>
      </c>
      <c r="J79">
        <v>0.25296</v>
      </c>
      <c r="K79">
        <v>347</v>
      </c>
      <c r="L79">
        <v>0</v>
      </c>
      <c r="M79">
        <v>-1</v>
      </c>
      <c r="N79">
        <v>9</v>
      </c>
      <c r="O79">
        <v>0.164524</v>
      </c>
      <c r="P79">
        <v>9</v>
      </c>
      <c r="Q79">
        <v>600</v>
      </c>
      <c r="R79" s="1">
        <v>600</v>
      </c>
      <c r="T79">
        <f t="shared" si="2"/>
        <v>0</v>
      </c>
      <c r="U79" s="1">
        <f t="shared" si="3"/>
        <v>0</v>
      </c>
    </row>
    <row r="80" spans="1:21">
      <c r="A80" t="s">
        <v>158</v>
      </c>
      <c r="B80">
        <v>34</v>
      </c>
      <c r="C80">
        <v>78</v>
      </c>
      <c r="D80">
        <v>13</v>
      </c>
      <c r="E80">
        <v>33</v>
      </c>
      <c r="F80" s="3" t="s">
        <v>83</v>
      </c>
      <c r="G80">
        <v>14</v>
      </c>
      <c r="H80" s="3" t="s">
        <v>192</v>
      </c>
      <c r="I80">
        <v>14</v>
      </c>
      <c r="J80">
        <v>0.002067</v>
      </c>
      <c r="K80">
        <v>7</v>
      </c>
      <c r="L80">
        <v>0</v>
      </c>
      <c r="M80">
        <v>0.00517</v>
      </c>
      <c r="N80">
        <v>4</v>
      </c>
      <c r="O80" s="3" t="s">
        <v>126</v>
      </c>
      <c r="P80">
        <v>4</v>
      </c>
      <c r="Q80">
        <v>0.020063</v>
      </c>
      <c r="R80" s="1">
        <v>0.014555</v>
      </c>
      <c r="T80">
        <f t="shared" si="2"/>
        <v>0</v>
      </c>
      <c r="U80" s="1">
        <f t="shared" si="3"/>
        <v>1</v>
      </c>
    </row>
    <row r="81" spans="1:21">
      <c r="A81" t="s">
        <v>160</v>
      </c>
      <c r="B81">
        <v>70068</v>
      </c>
      <c r="C81">
        <v>358647</v>
      </c>
      <c r="D81">
        <v>20930</v>
      </c>
      <c r="E81">
        <v>277487</v>
      </c>
      <c r="F81">
        <v>0.053998</v>
      </c>
      <c r="G81">
        <v>53601</v>
      </c>
      <c r="H81">
        <v>0.597568</v>
      </c>
      <c r="I81">
        <v>53288</v>
      </c>
      <c r="J81">
        <v>0.252979</v>
      </c>
      <c r="K81">
        <v>433</v>
      </c>
      <c r="L81">
        <v>0</v>
      </c>
      <c r="M81">
        <v>-1</v>
      </c>
      <c r="N81">
        <v>5</v>
      </c>
      <c r="O81">
        <v>0.045811</v>
      </c>
      <c r="P81">
        <v>5</v>
      </c>
      <c r="Q81">
        <v>600</v>
      </c>
      <c r="R81" s="1">
        <v>600</v>
      </c>
      <c r="T81">
        <f t="shared" si="2"/>
        <v>0</v>
      </c>
      <c r="U81" s="1">
        <f t="shared" si="3"/>
        <v>0</v>
      </c>
    </row>
    <row r="82" spans="1:21">
      <c r="A82" t="s">
        <v>161</v>
      </c>
      <c r="B82">
        <v>404719</v>
      </c>
      <c r="C82">
        <v>713319</v>
      </c>
      <c r="D82">
        <v>46489</v>
      </c>
      <c r="E82">
        <v>304864</v>
      </c>
      <c r="F82">
        <v>0.09205</v>
      </c>
      <c r="G82">
        <v>8866</v>
      </c>
      <c r="H82">
        <v>0.486388</v>
      </c>
      <c r="I82">
        <v>8482</v>
      </c>
      <c r="J82">
        <v>0.087565</v>
      </c>
      <c r="K82">
        <v>356</v>
      </c>
      <c r="L82">
        <v>74</v>
      </c>
      <c r="M82">
        <v>9.29399</v>
      </c>
      <c r="N82">
        <v>3</v>
      </c>
      <c r="O82">
        <v>0.102153</v>
      </c>
      <c r="P82">
        <v>3</v>
      </c>
      <c r="Q82">
        <v>10.589</v>
      </c>
      <c r="R82" s="1">
        <v>6.93948</v>
      </c>
      <c r="T82">
        <f t="shared" si="2"/>
        <v>0</v>
      </c>
      <c r="U82" s="1">
        <f t="shared" si="3"/>
        <v>1</v>
      </c>
    </row>
    <row r="83" spans="1:21">
      <c r="A83" t="s">
        <v>162</v>
      </c>
      <c r="B83">
        <v>889</v>
      </c>
      <c r="C83">
        <v>2914</v>
      </c>
      <c r="D83">
        <v>326</v>
      </c>
      <c r="E83">
        <v>1765</v>
      </c>
      <c r="F83">
        <v>0.000262</v>
      </c>
      <c r="G83">
        <v>396</v>
      </c>
      <c r="H83">
        <v>0.00116</v>
      </c>
      <c r="I83">
        <v>101</v>
      </c>
      <c r="J83">
        <v>0.040375</v>
      </c>
      <c r="K83">
        <v>206</v>
      </c>
      <c r="L83">
        <v>0</v>
      </c>
      <c r="M83">
        <v>0.006295</v>
      </c>
      <c r="N83">
        <v>5</v>
      </c>
      <c r="O83">
        <v>0.000191</v>
      </c>
      <c r="P83">
        <v>6</v>
      </c>
      <c r="Q83">
        <v>0.056804</v>
      </c>
      <c r="R83" s="1">
        <v>0.068629</v>
      </c>
      <c r="T83">
        <f t="shared" si="2"/>
        <v>1</v>
      </c>
      <c r="U83" s="1">
        <f t="shared" si="3"/>
        <v>0</v>
      </c>
    </row>
    <row r="84" spans="1:21">
      <c r="A84" t="s">
        <v>163</v>
      </c>
      <c r="B84">
        <v>26475</v>
      </c>
      <c r="C84">
        <v>53381</v>
      </c>
      <c r="D84">
        <v>1360</v>
      </c>
      <c r="E84">
        <v>9794</v>
      </c>
      <c r="F84">
        <v>0.003824</v>
      </c>
      <c r="G84">
        <v>5553</v>
      </c>
      <c r="H84">
        <v>0.02398</v>
      </c>
      <c r="I84">
        <v>5435</v>
      </c>
      <c r="J84">
        <v>0.245702</v>
      </c>
      <c r="K84">
        <v>640</v>
      </c>
      <c r="L84">
        <v>0</v>
      </c>
      <c r="M84">
        <v>-1</v>
      </c>
      <c r="N84">
        <v>5</v>
      </c>
      <c r="O84">
        <v>0.006122</v>
      </c>
      <c r="P84">
        <v>5</v>
      </c>
      <c r="Q84">
        <v>600</v>
      </c>
      <c r="R84" s="1">
        <v>600</v>
      </c>
      <c r="T84">
        <f t="shared" si="2"/>
        <v>0</v>
      </c>
      <c r="U84" s="1">
        <f t="shared" si="3"/>
        <v>0</v>
      </c>
    </row>
    <row r="85" spans="1:21">
      <c r="A85" t="s">
        <v>164</v>
      </c>
      <c r="B85">
        <v>40164</v>
      </c>
      <c r="C85">
        <v>85123</v>
      </c>
      <c r="D85">
        <v>4721</v>
      </c>
      <c r="E85">
        <v>26671</v>
      </c>
      <c r="F85">
        <v>0.010024</v>
      </c>
      <c r="G85">
        <v>14594</v>
      </c>
      <c r="H85">
        <v>0.092149</v>
      </c>
      <c r="I85">
        <v>14498</v>
      </c>
      <c r="J85">
        <v>0.25625</v>
      </c>
      <c r="K85">
        <v>705</v>
      </c>
      <c r="L85">
        <v>0</v>
      </c>
      <c r="M85">
        <v>-1</v>
      </c>
      <c r="N85">
        <v>4</v>
      </c>
      <c r="O85">
        <v>0.011448</v>
      </c>
      <c r="P85">
        <v>4</v>
      </c>
      <c r="Q85">
        <v>600</v>
      </c>
      <c r="R85" s="1">
        <v>600</v>
      </c>
      <c r="T85">
        <f t="shared" si="2"/>
        <v>0</v>
      </c>
      <c r="U85" s="1">
        <f t="shared" si="3"/>
        <v>0</v>
      </c>
    </row>
    <row r="86" spans="1:21">
      <c r="A86" t="s">
        <v>165</v>
      </c>
      <c r="B86">
        <v>62561</v>
      </c>
      <c r="C86">
        <v>147878</v>
      </c>
      <c r="D86">
        <v>24443</v>
      </c>
      <c r="E86">
        <v>100454</v>
      </c>
      <c r="F86">
        <v>0.030763</v>
      </c>
      <c r="G86">
        <v>379</v>
      </c>
      <c r="H86">
        <v>0.047226</v>
      </c>
      <c r="I86">
        <v>90</v>
      </c>
      <c r="J86">
        <v>0.143711</v>
      </c>
      <c r="K86">
        <v>107</v>
      </c>
      <c r="L86">
        <v>0</v>
      </c>
      <c r="M86">
        <v>0.00768</v>
      </c>
      <c r="N86">
        <v>3</v>
      </c>
      <c r="O86">
        <v>0.029598</v>
      </c>
      <c r="P86">
        <v>3</v>
      </c>
      <c r="Q86">
        <v>0.408881</v>
      </c>
      <c r="R86" s="1">
        <v>0.147706</v>
      </c>
      <c r="T86">
        <f t="shared" si="2"/>
        <v>0</v>
      </c>
      <c r="U86" s="1">
        <f t="shared" si="3"/>
        <v>1</v>
      </c>
    </row>
    <row r="87" spans="1:21">
      <c r="A87" t="s">
        <v>166</v>
      </c>
      <c r="B87">
        <v>190914</v>
      </c>
      <c r="C87">
        <v>607610</v>
      </c>
      <c r="D87">
        <v>47992</v>
      </c>
      <c r="E87">
        <v>336097</v>
      </c>
      <c r="F87">
        <v>0.133535</v>
      </c>
      <c r="G87">
        <v>69189</v>
      </c>
      <c r="H87">
        <v>0.615948</v>
      </c>
      <c r="I87">
        <v>68877</v>
      </c>
      <c r="J87">
        <v>0.167433</v>
      </c>
      <c r="K87">
        <v>400</v>
      </c>
      <c r="L87">
        <v>0</v>
      </c>
      <c r="M87">
        <v>-1</v>
      </c>
      <c r="N87">
        <v>5</v>
      </c>
      <c r="O87">
        <v>0.140239</v>
      </c>
      <c r="P87">
        <v>5</v>
      </c>
      <c r="Q87">
        <v>600</v>
      </c>
      <c r="R87" s="1">
        <v>600</v>
      </c>
      <c r="T87">
        <f t="shared" si="2"/>
        <v>0</v>
      </c>
      <c r="U87" s="1">
        <f t="shared" si="3"/>
        <v>0</v>
      </c>
    </row>
    <row r="88" spans="1:21">
      <c r="A88" t="s">
        <v>167</v>
      </c>
      <c r="B88">
        <v>2113</v>
      </c>
      <c r="C88">
        <v>6632</v>
      </c>
      <c r="D88">
        <v>104</v>
      </c>
      <c r="E88">
        <v>1047</v>
      </c>
      <c r="F88">
        <v>0.000274</v>
      </c>
      <c r="G88">
        <v>465</v>
      </c>
      <c r="H88">
        <v>0.001308</v>
      </c>
      <c r="I88">
        <v>465</v>
      </c>
      <c r="J88">
        <v>0.119157</v>
      </c>
      <c r="K88">
        <v>246</v>
      </c>
      <c r="L88">
        <v>3</v>
      </c>
      <c r="M88">
        <v>0.023603</v>
      </c>
      <c r="N88">
        <v>13</v>
      </c>
      <c r="O88">
        <v>0.00055</v>
      </c>
      <c r="P88">
        <v>13</v>
      </c>
      <c r="Q88">
        <v>0.154294</v>
      </c>
      <c r="R88" s="1">
        <v>0.135671</v>
      </c>
      <c r="T88">
        <f t="shared" si="2"/>
        <v>0</v>
      </c>
      <c r="U88" s="1">
        <f t="shared" si="3"/>
        <v>1</v>
      </c>
    </row>
    <row r="89" spans="1:21">
      <c r="A89" t="s">
        <v>168</v>
      </c>
      <c r="B89">
        <v>7476</v>
      </c>
      <c r="C89">
        <v>56943</v>
      </c>
      <c r="D89">
        <v>837</v>
      </c>
      <c r="E89">
        <v>33766</v>
      </c>
      <c r="F89">
        <v>0.008581</v>
      </c>
      <c r="G89">
        <v>27877</v>
      </c>
      <c r="H89">
        <v>0.341149</v>
      </c>
      <c r="I89">
        <v>27785</v>
      </c>
      <c r="J89">
        <v>3.26734</v>
      </c>
      <c r="K89">
        <v>1168</v>
      </c>
      <c r="L89">
        <v>5</v>
      </c>
      <c r="M89">
        <v>-1</v>
      </c>
      <c r="N89">
        <v>22</v>
      </c>
      <c r="O89">
        <v>0.00986</v>
      </c>
      <c r="P89">
        <v>22</v>
      </c>
      <c r="Q89">
        <v>600</v>
      </c>
      <c r="R89" s="1">
        <v>600</v>
      </c>
      <c r="T89">
        <f t="shared" si="2"/>
        <v>0</v>
      </c>
      <c r="U89" s="1">
        <f t="shared" si="3"/>
        <v>0</v>
      </c>
    </row>
    <row r="90" spans="1:21">
      <c r="A90" t="s">
        <v>169</v>
      </c>
      <c r="B90">
        <v>3031</v>
      </c>
      <c r="C90">
        <v>6474</v>
      </c>
      <c r="D90">
        <v>30</v>
      </c>
      <c r="E90">
        <v>435</v>
      </c>
      <c r="F90">
        <v>0.000152</v>
      </c>
      <c r="G90">
        <v>435</v>
      </c>
      <c r="H90">
        <v>0.001223</v>
      </c>
      <c r="I90">
        <v>435</v>
      </c>
      <c r="J90" s="3" t="s">
        <v>108</v>
      </c>
      <c r="K90">
        <v>8</v>
      </c>
      <c r="L90">
        <v>0</v>
      </c>
      <c r="M90">
        <v>0.020658</v>
      </c>
      <c r="N90">
        <v>25</v>
      </c>
      <c r="O90">
        <v>0.00043</v>
      </c>
      <c r="P90">
        <v>26</v>
      </c>
      <c r="Q90">
        <v>0.038879</v>
      </c>
      <c r="R90" s="1">
        <v>600</v>
      </c>
      <c r="T90">
        <f t="shared" si="2"/>
        <v>1</v>
      </c>
      <c r="U90" s="1">
        <f t="shared" si="3"/>
        <v>0</v>
      </c>
    </row>
    <row r="91" spans="1:21">
      <c r="A91" t="s">
        <v>170</v>
      </c>
      <c r="B91">
        <v>1299</v>
      </c>
      <c r="C91">
        <v>2773</v>
      </c>
      <c r="D91">
        <v>21</v>
      </c>
      <c r="E91">
        <v>174</v>
      </c>
      <c r="F91" s="3" t="s">
        <v>190</v>
      </c>
      <c r="G91">
        <v>170</v>
      </c>
      <c r="H91">
        <v>0.000197</v>
      </c>
      <c r="I91">
        <v>170</v>
      </c>
      <c r="J91">
        <v>0.003592</v>
      </c>
      <c r="K91">
        <v>162</v>
      </c>
      <c r="L91">
        <v>0</v>
      </c>
      <c r="M91">
        <v>0.009118</v>
      </c>
      <c r="N91">
        <v>16</v>
      </c>
      <c r="O91">
        <v>0.000197</v>
      </c>
      <c r="P91">
        <v>16</v>
      </c>
      <c r="Q91">
        <v>0.021165</v>
      </c>
      <c r="R91" s="1">
        <v>0.018968</v>
      </c>
      <c r="T91">
        <f t="shared" si="2"/>
        <v>0</v>
      </c>
      <c r="U91" s="1">
        <f t="shared" si="3"/>
        <v>1</v>
      </c>
    </row>
    <row r="92" spans="1:21">
      <c r="A92" t="s">
        <v>172</v>
      </c>
      <c r="B92">
        <v>11358</v>
      </c>
      <c r="C92">
        <v>47606</v>
      </c>
      <c r="D92">
        <v>168</v>
      </c>
      <c r="E92">
        <v>3490</v>
      </c>
      <c r="F92">
        <v>0.001336</v>
      </c>
      <c r="G92">
        <v>3488</v>
      </c>
      <c r="H92">
        <v>0.01357</v>
      </c>
      <c r="I92">
        <v>3488</v>
      </c>
      <c r="J92">
        <v>1.68284</v>
      </c>
      <c r="K92">
        <v>1807</v>
      </c>
      <c r="L92">
        <v>507</v>
      </c>
      <c r="M92">
        <v>33.7613</v>
      </c>
      <c r="N92">
        <v>36</v>
      </c>
      <c r="O92">
        <v>0.003899</v>
      </c>
      <c r="P92">
        <v>36</v>
      </c>
      <c r="Q92">
        <v>35.6707</v>
      </c>
      <c r="R92" s="1">
        <v>32.1786</v>
      </c>
      <c r="T92">
        <f t="shared" si="2"/>
        <v>0</v>
      </c>
      <c r="U92" s="1">
        <f t="shared" si="3"/>
        <v>1</v>
      </c>
    </row>
    <row r="93" spans="1:21">
      <c r="A93" t="s">
        <v>174</v>
      </c>
      <c r="B93">
        <v>643</v>
      </c>
      <c r="C93">
        <v>2280</v>
      </c>
      <c r="D93">
        <v>138</v>
      </c>
      <c r="E93">
        <v>1020</v>
      </c>
      <c r="F93">
        <v>0.000211</v>
      </c>
      <c r="G93">
        <v>360</v>
      </c>
      <c r="H93">
        <v>0.00127</v>
      </c>
      <c r="I93">
        <v>235</v>
      </c>
      <c r="J93">
        <v>0.052538</v>
      </c>
      <c r="K93">
        <v>244</v>
      </c>
      <c r="L93">
        <v>0</v>
      </c>
      <c r="M93">
        <v>0.013755</v>
      </c>
      <c r="N93">
        <v>7</v>
      </c>
      <c r="O93">
        <v>0.000194</v>
      </c>
      <c r="P93">
        <v>8</v>
      </c>
      <c r="Q93">
        <v>0.07983</v>
      </c>
      <c r="R93" s="1">
        <v>0.056136</v>
      </c>
      <c r="T93">
        <f t="shared" si="2"/>
        <v>0</v>
      </c>
      <c r="U93" s="1">
        <f t="shared" si="3"/>
        <v>1</v>
      </c>
    </row>
    <row r="94" spans="1:21">
      <c r="A94" t="s">
        <v>175</v>
      </c>
      <c r="B94">
        <v>121422</v>
      </c>
      <c r="C94">
        <v>334419</v>
      </c>
      <c r="D94">
        <v>377</v>
      </c>
      <c r="E94">
        <v>14358</v>
      </c>
      <c r="F94">
        <v>0.010547</v>
      </c>
      <c r="G94">
        <v>14358</v>
      </c>
      <c r="H94">
        <v>0.089778</v>
      </c>
      <c r="I94">
        <v>14358</v>
      </c>
      <c r="J94">
        <v>5.67563</v>
      </c>
      <c r="K94">
        <v>1652</v>
      </c>
      <c r="L94">
        <v>0</v>
      </c>
      <c r="M94">
        <v>-1</v>
      </c>
      <c r="N94">
        <v>41</v>
      </c>
      <c r="O94">
        <v>0.057707</v>
      </c>
      <c r="P94">
        <v>41</v>
      </c>
      <c r="Q94">
        <v>600</v>
      </c>
      <c r="R94" s="1">
        <v>600</v>
      </c>
      <c r="T94">
        <f t="shared" si="2"/>
        <v>0</v>
      </c>
      <c r="U94" s="1">
        <f t="shared" si="3"/>
        <v>0</v>
      </c>
    </row>
    <row r="95" spans="1:21">
      <c r="A95" t="s">
        <v>176</v>
      </c>
      <c r="B95">
        <v>4767</v>
      </c>
      <c r="C95">
        <v>37375</v>
      </c>
      <c r="D95">
        <v>1665</v>
      </c>
      <c r="E95">
        <v>27505</v>
      </c>
      <c r="F95">
        <v>0.005956</v>
      </c>
      <c r="G95">
        <v>10506</v>
      </c>
      <c r="H95">
        <v>0.095917</v>
      </c>
      <c r="I95">
        <v>10171</v>
      </c>
      <c r="J95">
        <v>0.244955</v>
      </c>
      <c r="K95">
        <v>985</v>
      </c>
      <c r="L95">
        <v>116</v>
      </c>
      <c r="M95">
        <v>30.7936</v>
      </c>
      <c r="N95">
        <v>10</v>
      </c>
      <c r="O95">
        <v>0.004223</v>
      </c>
      <c r="P95">
        <v>13</v>
      </c>
      <c r="Q95">
        <v>31.2495</v>
      </c>
      <c r="R95" s="1">
        <v>10.1181</v>
      </c>
      <c r="T95">
        <f t="shared" si="2"/>
        <v>0</v>
      </c>
      <c r="U95" s="1">
        <f t="shared" si="3"/>
        <v>1</v>
      </c>
    </row>
    <row r="96" spans="1:21">
      <c r="A96" t="s">
        <v>177</v>
      </c>
      <c r="B96">
        <v>16062</v>
      </c>
      <c r="C96">
        <v>25593</v>
      </c>
      <c r="D96">
        <v>62</v>
      </c>
      <c r="E96">
        <v>934</v>
      </c>
      <c r="F96">
        <v>0.000768</v>
      </c>
      <c r="G96">
        <v>934</v>
      </c>
      <c r="H96">
        <v>0.003605</v>
      </c>
      <c r="I96">
        <v>934</v>
      </c>
      <c r="J96">
        <v>0.161361</v>
      </c>
      <c r="K96">
        <v>191</v>
      </c>
      <c r="L96">
        <v>62</v>
      </c>
      <c r="M96">
        <v>0.803551</v>
      </c>
      <c r="N96">
        <v>25</v>
      </c>
      <c r="O96">
        <v>0.002896</v>
      </c>
      <c r="P96">
        <v>25</v>
      </c>
      <c r="Q96">
        <v>1.01793</v>
      </c>
      <c r="R96" s="1">
        <v>0.250474</v>
      </c>
      <c r="T96">
        <f t="shared" si="2"/>
        <v>0</v>
      </c>
      <c r="U96" s="1">
        <f t="shared" si="3"/>
        <v>1</v>
      </c>
    </row>
    <row r="97" spans="20:21">
      <c r="T97">
        <f>COUNTIF(T2:T96,"=1")</f>
        <v>16</v>
      </c>
      <c r="U97">
        <f>COUNTIF(U2:U96,"=1")</f>
        <v>48</v>
      </c>
    </row>
  </sheetData>
  <sortState ref="A2:Q96">
    <sortCondition ref="A2"/>
  </sortState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"/>
  <sheetViews>
    <sheetView topLeftCell="K58" workbookViewId="0">
      <selection activeCell="R1" sqref="R$1:R$1048576"/>
    </sheetView>
  </sheetViews>
  <sheetFormatPr defaultColWidth="8.72727272727273" defaultRowHeight="14"/>
  <cols>
    <col min="1" max="1" width="19.7272727272727" customWidth="1"/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18" max="18" width="9.27272727272727" style="1" customWidth="1"/>
    <col min="20" max="21" width="9"/>
    <col min="23" max="23" width="4.27272727272727" style="1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/>
      <c r="T1" s="2"/>
      <c r="U1" s="2"/>
    </row>
    <row r="2" spans="1:21">
      <c r="A2" t="s">
        <v>47</v>
      </c>
      <c r="B2">
        <v>453</v>
      </c>
      <c r="C2">
        <v>2025</v>
      </c>
      <c r="D2">
        <v>181</v>
      </c>
      <c r="E2">
        <v>1122</v>
      </c>
      <c r="F2">
        <v>0.000174</v>
      </c>
      <c r="G2">
        <v>439</v>
      </c>
      <c r="H2">
        <v>0.000984</v>
      </c>
      <c r="I2">
        <v>324</v>
      </c>
      <c r="J2">
        <v>0.055823</v>
      </c>
      <c r="K2">
        <v>322</v>
      </c>
      <c r="L2">
        <v>2</v>
      </c>
      <c r="M2">
        <v>0.016082</v>
      </c>
      <c r="N2">
        <v>6</v>
      </c>
      <c r="O2">
        <v>0.00015</v>
      </c>
      <c r="P2">
        <v>7</v>
      </c>
      <c r="Q2">
        <v>0.094521</v>
      </c>
      <c r="R2" s="1">
        <v>0.073753</v>
      </c>
      <c r="T2">
        <f t="shared" ref="T2:T65" si="0">IF(Q2&lt;R2,1,0)</f>
        <v>0</v>
      </c>
      <c r="U2" s="1">
        <f t="shared" ref="U2:U65" si="1">IF(R2&lt;Q2,1,0)</f>
        <v>1</v>
      </c>
    </row>
    <row r="3" spans="1:21">
      <c r="A3" t="s">
        <v>48</v>
      </c>
      <c r="B3">
        <v>516</v>
      </c>
      <c r="C3">
        <v>1188</v>
      </c>
      <c r="D3">
        <v>11</v>
      </c>
      <c r="E3">
        <v>55</v>
      </c>
      <c r="F3">
        <v>0.000116</v>
      </c>
      <c r="G3">
        <v>55</v>
      </c>
      <c r="H3">
        <v>0.000126</v>
      </c>
      <c r="I3">
        <v>55</v>
      </c>
      <c r="J3" s="3" t="s">
        <v>116</v>
      </c>
      <c r="K3">
        <v>2</v>
      </c>
      <c r="L3">
        <v>0</v>
      </c>
      <c r="M3">
        <v>0.005773</v>
      </c>
      <c r="N3">
        <v>10</v>
      </c>
      <c r="O3">
        <v>0.000347</v>
      </c>
      <c r="P3">
        <v>10</v>
      </c>
      <c r="Q3">
        <v>0.021965</v>
      </c>
      <c r="R3" s="1">
        <v>0.013638</v>
      </c>
      <c r="T3">
        <f t="shared" si="0"/>
        <v>0</v>
      </c>
      <c r="U3" s="1">
        <f t="shared" si="1"/>
        <v>1</v>
      </c>
    </row>
    <row r="4" spans="1:21">
      <c r="A4" t="s">
        <v>53</v>
      </c>
      <c r="B4">
        <v>7393</v>
      </c>
      <c r="C4">
        <v>25569</v>
      </c>
      <c r="D4">
        <v>3997</v>
      </c>
      <c r="E4">
        <v>20948</v>
      </c>
      <c r="F4">
        <v>0.005179</v>
      </c>
      <c r="G4">
        <v>1373</v>
      </c>
      <c r="H4">
        <v>0.017616</v>
      </c>
      <c r="I4">
        <v>1036</v>
      </c>
      <c r="J4">
        <v>0.152217</v>
      </c>
      <c r="K4">
        <v>550</v>
      </c>
      <c r="L4">
        <v>2</v>
      </c>
      <c r="M4">
        <v>0.080552</v>
      </c>
      <c r="N4">
        <v>3</v>
      </c>
      <c r="O4">
        <v>0.003299</v>
      </c>
      <c r="P4">
        <v>4</v>
      </c>
      <c r="Q4">
        <v>0.47302</v>
      </c>
      <c r="R4" s="1">
        <v>0.325288</v>
      </c>
      <c r="T4">
        <f t="shared" si="0"/>
        <v>0</v>
      </c>
      <c r="U4" s="1">
        <f t="shared" si="1"/>
        <v>1</v>
      </c>
    </row>
    <row r="5" spans="1:21">
      <c r="A5" t="s">
        <v>54</v>
      </c>
      <c r="B5">
        <v>1458</v>
      </c>
      <c r="C5">
        <v>1948</v>
      </c>
      <c r="D5">
        <v>6</v>
      </c>
      <c r="E5">
        <v>15</v>
      </c>
      <c r="F5" s="3" t="s">
        <v>55</v>
      </c>
      <c r="G5">
        <v>15</v>
      </c>
      <c r="H5" s="3" t="s">
        <v>121</v>
      </c>
      <c r="I5">
        <v>15</v>
      </c>
      <c r="J5">
        <v>0</v>
      </c>
      <c r="K5">
        <v>2</v>
      </c>
      <c r="L5">
        <v>0</v>
      </c>
      <c r="M5">
        <v>0.003657</v>
      </c>
      <c r="N5">
        <v>5</v>
      </c>
      <c r="O5">
        <v>0.000142</v>
      </c>
      <c r="P5">
        <v>5</v>
      </c>
      <c r="Q5">
        <v>0.015601</v>
      </c>
      <c r="R5" s="1">
        <v>0.01521</v>
      </c>
      <c r="T5">
        <f t="shared" si="0"/>
        <v>0</v>
      </c>
      <c r="U5" s="1">
        <f t="shared" si="1"/>
        <v>1</v>
      </c>
    </row>
    <row r="6" spans="1:21">
      <c r="A6" t="s">
        <v>58</v>
      </c>
      <c r="B6">
        <v>17903</v>
      </c>
      <c r="C6">
        <v>196972</v>
      </c>
      <c r="D6">
        <v>2039</v>
      </c>
      <c r="E6">
        <v>59628</v>
      </c>
      <c r="F6">
        <v>0.013132</v>
      </c>
      <c r="G6">
        <v>39206</v>
      </c>
      <c r="H6">
        <v>0.255387</v>
      </c>
      <c r="I6">
        <v>39196</v>
      </c>
      <c r="J6">
        <v>1.04722</v>
      </c>
      <c r="K6">
        <v>934</v>
      </c>
      <c r="L6">
        <v>0</v>
      </c>
      <c r="M6">
        <v>-1</v>
      </c>
      <c r="N6">
        <v>32</v>
      </c>
      <c r="O6">
        <v>0.024853</v>
      </c>
      <c r="P6">
        <v>32</v>
      </c>
      <c r="Q6">
        <v>600</v>
      </c>
      <c r="R6" s="1">
        <v>600</v>
      </c>
      <c r="T6">
        <f t="shared" si="0"/>
        <v>0</v>
      </c>
      <c r="U6" s="1">
        <f t="shared" si="1"/>
        <v>0</v>
      </c>
    </row>
    <row r="7" spans="1:21">
      <c r="A7" t="s">
        <v>59</v>
      </c>
      <c r="B7">
        <v>227320</v>
      </c>
      <c r="C7">
        <v>814134</v>
      </c>
      <c r="D7">
        <v>3030</v>
      </c>
      <c r="E7">
        <v>71305</v>
      </c>
      <c r="F7">
        <v>0.024641</v>
      </c>
      <c r="G7">
        <v>68937</v>
      </c>
      <c r="H7">
        <v>0.223665</v>
      </c>
      <c r="I7">
        <v>68935</v>
      </c>
      <c r="J7">
        <v>1.58705</v>
      </c>
      <c r="K7">
        <v>846</v>
      </c>
      <c r="L7">
        <v>0</v>
      </c>
      <c r="M7">
        <v>-1</v>
      </c>
      <c r="N7">
        <v>29</v>
      </c>
      <c r="O7">
        <v>0.115816</v>
      </c>
      <c r="P7">
        <v>29</v>
      </c>
      <c r="Q7">
        <v>600</v>
      </c>
      <c r="R7" s="1">
        <v>600</v>
      </c>
      <c r="T7">
        <f t="shared" si="0"/>
        <v>0</v>
      </c>
      <c r="U7" s="1">
        <f t="shared" si="1"/>
        <v>0</v>
      </c>
    </row>
    <row r="8" spans="1:21">
      <c r="A8" t="s">
        <v>60</v>
      </c>
      <c r="B8">
        <v>21363</v>
      </c>
      <c r="C8">
        <v>91286</v>
      </c>
      <c r="D8">
        <v>1328</v>
      </c>
      <c r="E8">
        <v>13353</v>
      </c>
      <c r="F8">
        <v>0.003701</v>
      </c>
      <c r="G8">
        <v>7215</v>
      </c>
      <c r="H8">
        <v>0.018921</v>
      </c>
      <c r="I8">
        <v>7198</v>
      </c>
      <c r="J8">
        <v>0.24523</v>
      </c>
      <c r="K8">
        <v>2517</v>
      </c>
      <c r="L8">
        <v>322</v>
      </c>
      <c r="M8">
        <v>41.8453</v>
      </c>
      <c r="N8">
        <v>12</v>
      </c>
      <c r="O8">
        <v>0.007752</v>
      </c>
      <c r="P8">
        <v>13</v>
      </c>
      <c r="Q8">
        <v>42.2054</v>
      </c>
      <c r="R8" s="1">
        <v>43.3453</v>
      </c>
      <c r="T8">
        <f t="shared" si="0"/>
        <v>1</v>
      </c>
      <c r="U8" s="1">
        <f t="shared" si="1"/>
        <v>0</v>
      </c>
    </row>
    <row r="9" spans="1:21">
      <c r="A9" t="s">
        <v>61</v>
      </c>
      <c r="B9">
        <v>1882</v>
      </c>
      <c r="C9">
        <v>1740</v>
      </c>
      <c r="D9">
        <v>23</v>
      </c>
      <c r="E9">
        <v>14</v>
      </c>
      <c r="F9" s="3" t="s">
        <v>193</v>
      </c>
      <c r="G9">
        <v>0</v>
      </c>
      <c r="H9" s="3" t="s">
        <v>121</v>
      </c>
      <c r="I9">
        <v>0</v>
      </c>
      <c r="J9">
        <v>0</v>
      </c>
      <c r="K9">
        <v>0</v>
      </c>
      <c r="L9">
        <v>0</v>
      </c>
      <c r="M9">
        <v>0.007371</v>
      </c>
      <c r="N9">
        <v>3</v>
      </c>
      <c r="O9">
        <v>0.000232</v>
      </c>
      <c r="P9">
        <v>3</v>
      </c>
      <c r="Q9">
        <v>0.014575</v>
      </c>
      <c r="R9" s="1">
        <v>0.003099</v>
      </c>
      <c r="T9">
        <f t="shared" si="0"/>
        <v>0</v>
      </c>
      <c r="U9" s="1">
        <f t="shared" si="1"/>
        <v>1</v>
      </c>
    </row>
    <row r="10" spans="1:21">
      <c r="A10" t="s">
        <v>63</v>
      </c>
      <c r="B10">
        <v>226413</v>
      </c>
      <c r="C10">
        <v>716460</v>
      </c>
      <c r="D10">
        <v>2300</v>
      </c>
      <c r="E10">
        <v>45126</v>
      </c>
      <c r="F10">
        <v>0.021665</v>
      </c>
      <c r="G10">
        <v>44549</v>
      </c>
      <c r="H10">
        <v>0.13046</v>
      </c>
      <c r="I10">
        <v>44549</v>
      </c>
      <c r="J10">
        <v>1.3985</v>
      </c>
      <c r="K10">
        <v>923</v>
      </c>
      <c r="L10">
        <v>0</v>
      </c>
      <c r="M10">
        <v>-1</v>
      </c>
      <c r="N10">
        <v>24</v>
      </c>
      <c r="O10">
        <v>0.099287</v>
      </c>
      <c r="P10">
        <v>24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64</v>
      </c>
      <c r="B11">
        <v>5094</v>
      </c>
      <c r="C11">
        <v>7515</v>
      </c>
      <c r="D11">
        <v>252</v>
      </c>
      <c r="E11">
        <v>1006</v>
      </c>
      <c r="F11">
        <v>0.000429</v>
      </c>
      <c r="G11">
        <v>131</v>
      </c>
      <c r="H11">
        <v>0.00081</v>
      </c>
      <c r="I11">
        <v>97</v>
      </c>
      <c r="J11">
        <v>0.033381</v>
      </c>
      <c r="K11">
        <v>105</v>
      </c>
      <c r="L11">
        <v>2</v>
      </c>
      <c r="M11">
        <v>0.014131</v>
      </c>
      <c r="N11">
        <v>5</v>
      </c>
      <c r="O11">
        <v>0.000806</v>
      </c>
      <c r="P11">
        <v>5</v>
      </c>
      <c r="Q11">
        <v>0.067265</v>
      </c>
      <c r="R11" s="1">
        <v>0.036881</v>
      </c>
      <c r="T11">
        <f t="shared" si="0"/>
        <v>0</v>
      </c>
      <c r="U11" s="1">
        <f t="shared" si="1"/>
        <v>1</v>
      </c>
    </row>
    <row r="12" spans="1:21">
      <c r="A12" t="s">
        <v>65</v>
      </c>
      <c r="B12">
        <v>4158</v>
      </c>
      <c r="C12">
        <v>13422</v>
      </c>
      <c r="D12">
        <v>115</v>
      </c>
      <c r="E12">
        <v>2186</v>
      </c>
      <c r="F12">
        <v>0.000389</v>
      </c>
      <c r="G12">
        <v>2186</v>
      </c>
      <c r="H12">
        <v>0.005163</v>
      </c>
      <c r="I12">
        <v>2186</v>
      </c>
      <c r="J12">
        <v>0.450213</v>
      </c>
      <c r="K12">
        <v>822</v>
      </c>
      <c r="L12">
        <v>38</v>
      </c>
      <c r="M12">
        <v>0.752766</v>
      </c>
      <c r="N12">
        <v>33</v>
      </c>
      <c r="O12">
        <v>0.001092</v>
      </c>
      <c r="P12">
        <v>33</v>
      </c>
      <c r="Q12">
        <v>1.24512</v>
      </c>
      <c r="R12" s="1">
        <v>1.12155</v>
      </c>
      <c r="T12">
        <f t="shared" si="0"/>
        <v>0</v>
      </c>
      <c r="U12" s="1">
        <f t="shared" si="1"/>
        <v>1</v>
      </c>
    </row>
    <row r="13" spans="1:21">
      <c r="A13" t="s">
        <v>66</v>
      </c>
      <c r="B13">
        <v>11204</v>
      </c>
      <c r="C13">
        <v>117619</v>
      </c>
      <c r="D13">
        <v>239</v>
      </c>
      <c r="E13">
        <v>28441</v>
      </c>
      <c r="F13">
        <v>0.007216</v>
      </c>
      <c r="G13">
        <v>28441</v>
      </c>
      <c r="H13">
        <v>0.553027</v>
      </c>
      <c r="I13">
        <v>28441</v>
      </c>
      <c r="J13">
        <v>0.000605</v>
      </c>
      <c r="K13">
        <v>356</v>
      </c>
      <c r="L13">
        <v>0</v>
      </c>
      <c r="M13">
        <v>-1</v>
      </c>
      <c r="N13">
        <v>121</v>
      </c>
      <c r="O13">
        <v>0.039709</v>
      </c>
      <c r="P13">
        <v>121</v>
      </c>
      <c r="Q13">
        <v>600</v>
      </c>
      <c r="R13" s="1">
        <v>600</v>
      </c>
      <c r="T13">
        <f t="shared" si="0"/>
        <v>0</v>
      </c>
      <c r="U13" s="1">
        <f t="shared" si="1"/>
        <v>0</v>
      </c>
    </row>
    <row r="14" spans="1:21">
      <c r="A14" t="s">
        <v>67</v>
      </c>
      <c r="B14">
        <v>332689</v>
      </c>
      <c r="C14">
        <v>820644</v>
      </c>
      <c r="D14">
        <v>15806</v>
      </c>
      <c r="E14">
        <v>110272</v>
      </c>
      <c r="F14">
        <v>0.06119</v>
      </c>
      <c r="G14">
        <v>22255</v>
      </c>
      <c r="H14">
        <v>0.108335</v>
      </c>
      <c r="I14">
        <v>22194</v>
      </c>
      <c r="J14">
        <v>0.23841</v>
      </c>
      <c r="K14">
        <v>1149</v>
      </c>
      <c r="L14">
        <v>0</v>
      </c>
      <c r="M14">
        <v>-1</v>
      </c>
      <c r="N14">
        <v>8</v>
      </c>
      <c r="O14">
        <v>0.165563</v>
      </c>
      <c r="P14">
        <v>8</v>
      </c>
      <c r="Q14">
        <v>600</v>
      </c>
      <c r="R14" s="1">
        <v>600</v>
      </c>
      <c r="T14">
        <f t="shared" si="0"/>
        <v>0</v>
      </c>
      <c r="U14" s="1">
        <f t="shared" si="1"/>
        <v>0</v>
      </c>
    </row>
    <row r="15" spans="1:21">
      <c r="A15" t="s">
        <v>68</v>
      </c>
      <c r="B15">
        <v>379</v>
      </c>
      <c r="C15">
        <v>914</v>
      </c>
      <c r="D15">
        <v>9</v>
      </c>
      <c r="E15">
        <v>36</v>
      </c>
      <c r="F15" s="3" t="s">
        <v>194</v>
      </c>
      <c r="G15">
        <v>36</v>
      </c>
      <c r="H15" s="3" t="s">
        <v>45</v>
      </c>
      <c r="I15">
        <v>36</v>
      </c>
      <c r="J15" s="3" t="s">
        <v>51</v>
      </c>
      <c r="K15">
        <v>1</v>
      </c>
      <c r="L15">
        <v>0</v>
      </c>
      <c r="M15">
        <v>0.006409</v>
      </c>
      <c r="N15">
        <v>8</v>
      </c>
      <c r="O15">
        <v>0.0001</v>
      </c>
      <c r="P15">
        <v>8</v>
      </c>
      <c r="Q15">
        <v>0.065045</v>
      </c>
      <c r="R15" s="1">
        <v>0.013529</v>
      </c>
      <c r="T15">
        <f t="shared" si="0"/>
        <v>0</v>
      </c>
      <c r="U15" s="1">
        <f t="shared" si="1"/>
        <v>1</v>
      </c>
    </row>
    <row r="16" spans="1:21">
      <c r="A16" t="s">
        <v>70</v>
      </c>
      <c r="B16">
        <v>32430</v>
      </c>
      <c r="C16">
        <v>54397</v>
      </c>
      <c r="D16">
        <v>1542</v>
      </c>
      <c r="E16">
        <v>15930</v>
      </c>
      <c r="F16">
        <v>0.003203</v>
      </c>
      <c r="G16">
        <v>9773</v>
      </c>
      <c r="H16">
        <v>0.02516</v>
      </c>
      <c r="I16">
        <v>9606</v>
      </c>
      <c r="J16">
        <v>0.193273</v>
      </c>
      <c r="K16">
        <v>4047</v>
      </c>
      <c r="L16">
        <v>897</v>
      </c>
      <c r="M16">
        <v>507.019</v>
      </c>
      <c r="N16">
        <v>5</v>
      </c>
      <c r="O16">
        <v>0.003197</v>
      </c>
      <c r="P16">
        <v>7</v>
      </c>
      <c r="Q16">
        <v>507.37</v>
      </c>
      <c r="R16" s="1">
        <v>498.124</v>
      </c>
      <c r="T16">
        <f t="shared" si="0"/>
        <v>0</v>
      </c>
      <c r="U16" s="1">
        <f t="shared" si="1"/>
        <v>1</v>
      </c>
    </row>
    <row r="17" spans="1:21">
      <c r="A17" t="s">
        <v>71</v>
      </c>
      <c r="B17">
        <v>1133</v>
      </c>
      <c r="C17">
        <v>5451</v>
      </c>
      <c r="D17">
        <v>588</v>
      </c>
      <c r="E17">
        <v>4048</v>
      </c>
      <c r="F17">
        <v>0.000645</v>
      </c>
      <c r="G17">
        <v>776</v>
      </c>
      <c r="H17">
        <v>0.003177</v>
      </c>
      <c r="I17">
        <v>459</v>
      </c>
      <c r="J17">
        <v>0.124847</v>
      </c>
      <c r="K17">
        <v>580</v>
      </c>
      <c r="L17">
        <v>4</v>
      </c>
      <c r="M17">
        <v>0.029024</v>
      </c>
      <c r="N17">
        <v>6</v>
      </c>
      <c r="O17">
        <v>0.000388</v>
      </c>
      <c r="P17">
        <v>8</v>
      </c>
      <c r="Q17">
        <v>0.175167</v>
      </c>
      <c r="R17" s="1">
        <v>0.104152</v>
      </c>
      <c r="T17">
        <f t="shared" si="0"/>
        <v>0</v>
      </c>
      <c r="U17" s="1">
        <f t="shared" si="1"/>
        <v>1</v>
      </c>
    </row>
    <row r="18" spans="1:21">
      <c r="A18" t="s">
        <v>72</v>
      </c>
      <c r="B18">
        <v>33696</v>
      </c>
      <c r="C18">
        <v>180811</v>
      </c>
      <c r="D18">
        <v>6236</v>
      </c>
      <c r="E18">
        <v>111166</v>
      </c>
      <c r="F18">
        <v>0.021107</v>
      </c>
      <c r="G18">
        <v>79305</v>
      </c>
      <c r="H18">
        <v>0.38067</v>
      </c>
      <c r="I18">
        <v>79112</v>
      </c>
      <c r="J18">
        <v>0.288901</v>
      </c>
      <c r="K18">
        <v>508</v>
      </c>
      <c r="L18">
        <v>0</v>
      </c>
      <c r="M18">
        <v>-1</v>
      </c>
      <c r="N18">
        <v>8</v>
      </c>
      <c r="O18">
        <v>0.016569</v>
      </c>
      <c r="P18">
        <v>8</v>
      </c>
      <c r="Q18">
        <v>600</v>
      </c>
      <c r="R18" s="1">
        <v>600</v>
      </c>
      <c r="T18">
        <f t="shared" si="0"/>
        <v>0</v>
      </c>
      <c r="U18" s="1">
        <f t="shared" si="1"/>
        <v>0</v>
      </c>
    </row>
    <row r="19" spans="1:21">
      <c r="A19" t="s">
        <v>73</v>
      </c>
      <c r="B19">
        <v>143</v>
      </c>
      <c r="C19">
        <v>623</v>
      </c>
      <c r="D19">
        <v>80</v>
      </c>
      <c r="E19">
        <v>442</v>
      </c>
      <c r="F19">
        <v>0.000105</v>
      </c>
      <c r="G19">
        <v>139</v>
      </c>
      <c r="H19">
        <v>0.00048</v>
      </c>
      <c r="I19">
        <v>105</v>
      </c>
      <c r="J19">
        <v>0.0316</v>
      </c>
      <c r="K19">
        <v>144</v>
      </c>
      <c r="L19">
        <v>0</v>
      </c>
      <c r="M19">
        <v>0.019093</v>
      </c>
      <c r="N19">
        <v>6</v>
      </c>
      <c r="O19" s="3" t="s">
        <v>191</v>
      </c>
      <c r="P19">
        <v>7</v>
      </c>
      <c r="Q19">
        <v>0.061524</v>
      </c>
      <c r="R19" s="1">
        <v>0.032751</v>
      </c>
      <c r="T19">
        <f t="shared" si="0"/>
        <v>0</v>
      </c>
      <c r="U19" s="1">
        <f t="shared" si="1"/>
        <v>1</v>
      </c>
    </row>
    <row r="20" spans="1:21">
      <c r="A20" t="s">
        <v>74</v>
      </c>
      <c r="B20">
        <v>1266</v>
      </c>
      <c r="C20">
        <v>6451</v>
      </c>
      <c r="D20">
        <v>761</v>
      </c>
      <c r="E20">
        <v>5580</v>
      </c>
      <c r="F20">
        <v>0.001156</v>
      </c>
      <c r="G20">
        <v>689</v>
      </c>
      <c r="H20">
        <v>0.005605</v>
      </c>
      <c r="I20">
        <v>139</v>
      </c>
      <c r="J20">
        <v>0.039017</v>
      </c>
      <c r="K20">
        <v>54</v>
      </c>
      <c r="L20">
        <v>0</v>
      </c>
      <c r="M20">
        <v>0.006289</v>
      </c>
      <c r="N20">
        <v>4</v>
      </c>
      <c r="O20">
        <v>0.000608</v>
      </c>
      <c r="P20">
        <v>4</v>
      </c>
      <c r="Q20">
        <v>0.066377</v>
      </c>
      <c r="R20" s="1">
        <v>0.041606</v>
      </c>
      <c r="T20">
        <f t="shared" si="0"/>
        <v>0</v>
      </c>
      <c r="U20" s="1">
        <f t="shared" si="1"/>
        <v>1</v>
      </c>
    </row>
    <row r="21" spans="1:21">
      <c r="A21" t="s">
        <v>75</v>
      </c>
      <c r="B21">
        <v>410</v>
      </c>
      <c r="C21">
        <v>2765</v>
      </c>
      <c r="D21">
        <v>122</v>
      </c>
      <c r="E21">
        <v>1134</v>
      </c>
      <c r="F21">
        <v>0.000268</v>
      </c>
      <c r="G21">
        <v>210</v>
      </c>
      <c r="H21">
        <v>0.00212</v>
      </c>
      <c r="I21">
        <v>162</v>
      </c>
      <c r="J21">
        <v>0.111137</v>
      </c>
      <c r="K21">
        <v>166</v>
      </c>
      <c r="L21">
        <v>1</v>
      </c>
      <c r="M21">
        <v>0.049122</v>
      </c>
      <c r="N21">
        <v>13</v>
      </c>
      <c r="O21">
        <v>0.000316</v>
      </c>
      <c r="P21">
        <v>13</v>
      </c>
      <c r="Q21">
        <v>0.24192</v>
      </c>
      <c r="R21" s="1">
        <v>0.081395</v>
      </c>
      <c r="T21">
        <f t="shared" si="0"/>
        <v>0</v>
      </c>
      <c r="U21" s="1">
        <f t="shared" si="1"/>
        <v>1</v>
      </c>
    </row>
    <row r="22" spans="1:21">
      <c r="A22" t="s">
        <v>76</v>
      </c>
      <c r="B22">
        <v>113</v>
      </c>
      <c r="C22">
        <v>2196</v>
      </c>
      <c r="D22">
        <v>112</v>
      </c>
      <c r="E22">
        <v>2195</v>
      </c>
      <c r="F22">
        <v>0.00041</v>
      </c>
      <c r="G22">
        <v>1842</v>
      </c>
      <c r="H22">
        <v>0.009135</v>
      </c>
      <c r="I22">
        <v>1708</v>
      </c>
      <c r="J22">
        <v>0.606606</v>
      </c>
      <c r="K22">
        <v>768</v>
      </c>
      <c r="L22">
        <v>2</v>
      </c>
      <c r="M22">
        <v>0.111478</v>
      </c>
      <c r="N22">
        <v>11</v>
      </c>
      <c r="O22">
        <v>0.000309</v>
      </c>
      <c r="P22">
        <v>13</v>
      </c>
      <c r="Q22">
        <v>0.77253</v>
      </c>
      <c r="R22" s="1">
        <v>0.192185</v>
      </c>
      <c r="T22">
        <f t="shared" si="0"/>
        <v>0</v>
      </c>
      <c r="U22" s="1">
        <f t="shared" si="1"/>
        <v>1</v>
      </c>
    </row>
    <row r="23" spans="1:21">
      <c r="A23" t="s">
        <v>77</v>
      </c>
      <c r="B23">
        <v>6809</v>
      </c>
      <c r="C23">
        <v>7680</v>
      </c>
      <c r="D23">
        <v>228</v>
      </c>
      <c r="E23">
        <v>805</v>
      </c>
      <c r="F23">
        <v>0.000219</v>
      </c>
      <c r="G23">
        <v>196</v>
      </c>
      <c r="H23">
        <v>0.000276</v>
      </c>
      <c r="I23">
        <v>163</v>
      </c>
      <c r="J23">
        <v>0.046775</v>
      </c>
      <c r="K23">
        <v>336</v>
      </c>
      <c r="L23">
        <v>0</v>
      </c>
      <c r="M23">
        <v>0.007411</v>
      </c>
      <c r="N23">
        <v>3</v>
      </c>
      <c r="O23">
        <v>0.000325</v>
      </c>
      <c r="P23">
        <v>4</v>
      </c>
      <c r="Q23">
        <v>0.065523</v>
      </c>
      <c r="R23" s="1">
        <v>0.054739</v>
      </c>
      <c r="T23">
        <f t="shared" si="0"/>
        <v>0</v>
      </c>
      <c r="U23" s="1">
        <f t="shared" si="1"/>
        <v>1</v>
      </c>
    </row>
    <row r="24" spans="1:21">
      <c r="A24" t="s">
        <v>78</v>
      </c>
      <c r="B24">
        <v>92117</v>
      </c>
      <c r="C24">
        <v>360767</v>
      </c>
      <c r="D24">
        <v>19832</v>
      </c>
      <c r="E24">
        <v>264678</v>
      </c>
      <c r="F24">
        <v>0.051026</v>
      </c>
      <c r="G24">
        <v>139137</v>
      </c>
      <c r="H24">
        <v>0.897981</v>
      </c>
      <c r="I24">
        <v>138989</v>
      </c>
      <c r="J24">
        <v>0.222194</v>
      </c>
      <c r="K24">
        <v>510</v>
      </c>
      <c r="L24">
        <v>0</v>
      </c>
      <c r="M24">
        <v>-1</v>
      </c>
      <c r="N24">
        <v>4</v>
      </c>
      <c r="O24">
        <v>0.04604</v>
      </c>
      <c r="P24">
        <v>4</v>
      </c>
      <c r="Q24">
        <v>600</v>
      </c>
      <c r="R24" s="1">
        <v>600</v>
      </c>
      <c r="T24">
        <f t="shared" si="0"/>
        <v>0</v>
      </c>
      <c r="U24" s="1">
        <f t="shared" si="1"/>
        <v>0</v>
      </c>
    </row>
    <row r="25" spans="1:21">
      <c r="A25" t="s">
        <v>79</v>
      </c>
      <c r="B25">
        <v>4941</v>
      </c>
      <c r="C25">
        <v>6594</v>
      </c>
      <c r="D25">
        <v>107</v>
      </c>
      <c r="E25">
        <v>199</v>
      </c>
      <c r="F25">
        <v>0.000215</v>
      </c>
      <c r="G25">
        <v>63</v>
      </c>
      <c r="H25" s="3" t="s">
        <v>195</v>
      </c>
      <c r="I25">
        <v>59</v>
      </c>
      <c r="J25">
        <v>0.013426</v>
      </c>
      <c r="K25">
        <v>51</v>
      </c>
      <c r="L25">
        <v>1</v>
      </c>
      <c r="M25">
        <v>0.011537</v>
      </c>
      <c r="N25">
        <v>4</v>
      </c>
      <c r="O25">
        <v>0.000525</v>
      </c>
      <c r="P25">
        <v>4</v>
      </c>
      <c r="Q25">
        <v>0.041722</v>
      </c>
      <c r="R25" s="1">
        <v>0.028391</v>
      </c>
      <c r="T25">
        <f t="shared" si="0"/>
        <v>0</v>
      </c>
      <c r="U25" s="1">
        <f t="shared" si="1"/>
        <v>1</v>
      </c>
    </row>
    <row r="26" spans="1:21">
      <c r="A26" t="s">
        <v>80</v>
      </c>
      <c r="B26">
        <v>91813</v>
      </c>
      <c r="C26">
        <v>125704</v>
      </c>
      <c r="D26">
        <v>114</v>
      </c>
      <c r="E26">
        <v>136</v>
      </c>
      <c r="F26">
        <v>0.004817</v>
      </c>
      <c r="G26">
        <v>0</v>
      </c>
      <c r="H26" s="3" t="s">
        <v>98</v>
      </c>
      <c r="I26">
        <v>0</v>
      </c>
      <c r="J26">
        <v>0</v>
      </c>
      <c r="K26">
        <v>0</v>
      </c>
      <c r="L26">
        <v>0</v>
      </c>
      <c r="M26">
        <v>0.004824</v>
      </c>
      <c r="N26">
        <v>5</v>
      </c>
      <c r="O26">
        <v>0.016578</v>
      </c>
      <c r="P26">
        <v>5</v>
      </c>
      <c r="Q26">
        <v>0.092034</v>
      </c>
      <c r="R26" s="1">
        <v>0.049972</v>
      </c>
      <c r="T26">
        <f t="shared" si="0"/>
        <v>0</v>
      </c>
      <c r="U26" s="1">
        <f t="shared" si="1"/>
        <v>1</v>
      </c>
    </row>
    <row r="27" spans="1:21">
      <c r="A27" t="s">
        <v>82</v>
      </c>
      <c r="B27">
        <v>96</v>
      </c>
      <c r="C27">
        <v>117</v>
      </c>
      <c r="D27">
        <v>16</v>
      </c>
      <c r="E27">
        <v>26</v>
      </c>
      <c r="F27" s="3" t="s">
        <v>83</v>
      </c>
      <c r="G27">
        <v>6</v>
      </c>
      <c r="H27" s="3" t="s">
        <v>41</v>
      </c>
      <c r="I27">
        <v>6</v>
      </c>
      <c r="J27">
        <v>0.009911</v>
      </c>
      <c r="K27">
        <v>7</v>
      </c>
      <c r="L27">
        <v>0</v>
      </c>
      <c r="M27">
        <v>0.005576</v>
      </c>
      <c r="N27">
        <v>3</v>
      </c>
      <c r="O27" s="3" t="s">
        <v>22</v>
      </c>
      <c r="P27">
        <v>3</v>
      </c>
      <c r="Q27">
        <v>0.026677</v>
      </c>
      <c r="R27" s="1">
        <v>0.020116</v>
      </c>
      <c r="T27">
        <f t="shared" si="0"/>
        <v>0</v>
      </c>
      <c r="U27" s="1">
        <f t="shared" si="1"/>
        <v>1</v>
      </c>
    </row>
    <row r="28" spans="1:21">
      <c r="A28" t="s">
        <v>85</v>
      </c>
      <c r="B28">
        <v>761</v>
      </c>
      <c r="C28">
        <v>1029</v>
      </c>
      <c r="D28">
        <v>51</v>
      </c>
      <c r="E28">
        <v>139</v>
      </c>
      <c r="F28" s="3" t="s">
        <v>190</v>
      </c>
      <c r="G28">
        <v>13</v>
      </c>
      <c r="H28" s="3" t="s">
        <v>113</v>
      </c>
      <c r="I28">
        <v>0</v>
      </c>
      <c r="J28">
        <v>0.000255</v>
      </c>
      <c r="K28">
        <v>0</v>
      </c>
      <c r="L28">
        <v>0</v>
      </c>
      <c r="M28">
        <v>0.009269</v>
      </c>
      <c r="N28">
        <v>4</v>
      </c>
      <c r="O28">
        <v>0.000126</v>
      </c>
      <c r="P28">
        <v>4</v>
      </c>
      <c r="Q28">
        <v>0.019189</v>
      </c>
      <c r="R28" s="1">
        <v>0.00327</v>
      </c>
      <c r="T28">
        <f t="shared" si="0"/>
        <v>0</v>
      </c>
      <c r="U28" s="1">
        <f t="shared" si="1"/>
        <v>1</v>
      </c>
    </row>
    <row r="29" spans="1:21">
      <c r="A29" t="s">
        <v>89</v>
      </c>
      <c r="B29">
        <v>146</v>
      </c>
      <c r="C29">
        <v>9828</v>
      </c>
      <c r="D29">
        <v>134</v>
      </c>
      <c r="E29">
        <v>8770</v>
      </c>
      <c r="F29">
        <v>0.001165</v>
      </c>
      <c r="G29">
        <v>8770</v>
      </c>
      <c r="H29">
        <v>0.078312</v>
      </c>
      <c r="I29">
        <v>8770</v>
      </c>
      <c r="J29">
        <v>1.83759</v>
      </c>
      <c r="K29">
        <v>4939</v>
      </c>
      <c r="L29">
        <v>12</v>
      </c>
      <c r="M29">
        <v>4.33139</v>
      </c>
      <c r="N29">
        <v>110</v>
      </c>
      <c r="O29">
        <v>0.002528</v>
      </c>
      <c r="P29">
        <v>110</v>
      </c>
      <c r="Q29">
        <v>7.15204</v>
      </c>
      <c r="R29" s="1">
        <v>10.5617</v>
      </c>
      <c r="T29">
        <f t="shared" si="0"/>
        <v>1</v>
      </c>
      <c r="U29" s="1">
        <f t="shared" si="1"/>
        <v>0</v>
      </c>
    </row>
    <row r="30" spans="1:21">
      <c r="A30" t="s">
        <v>90</v>
      </c>
      <c r="B30">
        <v>488</v>
      </c>
      <c r="C30">
        <v>71011</v>
      </c>
      <c r="D30">
        <v>386</v>
      </c>
      <c r="E30">
        <v>65503</v>
      </c>
      <c r="F30">
        <v>0.012676</v>
      </c>
      <c r="G30">
        <v>-1</v>
      </c>
      <c r="H30">
        <v>3.74403</v>
      </c>
      <c r="I30">
        <v>-1</v>
      </c>
      <c r="J30">
        <v>-1</v>
      </c>
      <c r="K30">
        <v>0</v>
      </c>
      <c r="L30">
        <v>0</v>
      </c>
      <c r="M30">
        <v>-1</v>
      </c>
      <c r="N30">
        <v>193</v>
      </c>
      <c r="O30">
        <v>0.085812</v>
      </c>
      <c r="P30">
        <v>193</v>
      </c>
      <c r="Q30">
        <v>600</v>
      </c>
      <c r="R30" s="1">
        <v>600</v>
      </c>
      <c r="T30">
        <f t="shared" si="0"/>
        <v>0</v>
      </c>
      <c r="U30" s="1">
        <f t="shared" si="1"/>
        <v>0</v>
      </c>
    </row>
    <row r="31" spans="1:21">
      <c r="A31" t="s">
        <v>91</v>
      </c>
      <c r="B31">
        <v>1303</v>
      </c>
      <c r="C31">
        <v>531893</v>
      </c>
      <c r="D31">
        <v>1200</v>
      </c>
      <c r="E31">
        <v>523785</v>
      </c>
      <c r="F31">
        <v>0.072047</v>
      </c>
      <c r="G31">
        <v>523785</v>
      </c>
      <c r="H31">
        <v>71.3567</v>
      </c>
      <c r="I31">
        <v>523785</v>
      </c>
      <c r="J31">
        <v>288.143</v>
      </c>
      <c r="K31">
        <v>0</v>
      </c>
      <c r="L31">
        <v>0</v>
      </c>
      <c r="M31">
        <v>-1</v>
      </c>
      <c r="N31">
        <v>280</v>
      </c>
      <c r="O31">
        <v>1.10778</v>
      </c>
      <c r="P31">
        <v>280</v>
      </c>
      <c r="Q31">
        <v>600</v>
      </c>
      <c r="R31" s="1">
        <v>600</v>
      </c>
      <c r="T31">
        <f t="shared" si="0"/>
        <v>0</v>
      </c>
      <c r="U31" s="1">
        <f t="shared" si="1"/>
        <v>0</v>
      </c>
    </row>
    <row r="32" spans="1:21">
      <c r="A32" t="s">
        <v>92</v>
      </c>
      <c r="B32">
        <v>10972</v>
      </c>
      <c r="C32">
        <v>175573</v>
      </c>
      <c r="D32">
        <v>1351</v>
      </c>
      <c r="E32">
        <v>47683</v>
      </c>
      <c r="F32">
        <v>0.009047</v>
      </c>
      <c r="G32">
        <v>45314</v>
      </c>
      <c r="H32">
        <v>0.244481</v>
      </c>
      <c r="I32">
        <v>45313</v>
      </c>
      <c r="J32">
        <v>4.42657</v>
      </c>
      <c r="K32">
        <v>805</v>
      </c>
      <c r="L32">
        <v>0</v>
      </c>
      <c r="M32">
        <v>-1</v>
      </c>
      <c r="N32">
        <v>45</v>
      </c>
      <c r="O32">
        <v>0.026542</v>
      </c>
      <c r="P32">
        <v>45</v>
      </c>
      <c r="Q32">
        <v>600</v>
      </c>
      <c r="R32" s="1">
        <v>600</v>
      </c>
      <c r="T32">
        <f t="shared" si="0"/>
        <v>0</v>
      </c>
      <c r="U32" s="1">
        <f t="shared" si="1"/>
        <v>0</v>
      </c>
    </row>
    <row r="33" spans="1:21">
      <c r="A33" t="s">
        <v>93</v>
      </c>
      <c r="B33">
        <v>113</v>
      </c>
      <c r="C33">
        <v>6222</v>
      </c>
      <c r="D33">
        <v>107</v>
      </c>
      <c r="E33">
        <v>5669</v>
      </c>
      <c r="F33">
        <v>0.000818</v>
      </c>
      <c r="G33">
        <v>5669</v>
      </c>
      <c r="H33">
        <v>0.060372</v>
      </c>
      <c r="I33">
        <v>5669</v>
      </c>
      <c r="J33">
        <v>0.000146</v>
      </c>
      <c r="K33">
        <v>18</v>
      </c>
      <c r="L33">
        <v>11</v>
      </c>
      <c r="M33">
        <v>0.876946</v>
      </c>
      <c r="N33">
        <v>99</v>
      </c>
      <c r="O33">
        <v>0.001599</v>
      </c>
      <c r="P33">
        <v>99</v>
      </c>
      <c r="Q33">
        <v>1.14101</v>
      </c>
      <c r="R33" s="1">
        <v>0.891548</v>
      </c>
      <c r="T33">
        <f t="shared" si="0"/>
        <v>0</v>
      </c>
      <c r="U33" s="1">
        <f t="shared" si="1"/>
        <v>1</v>
      </c>
    </row>
    <row r="34" spans="1:21">
      <c r="A34" t="s">
        <v>94</v>
      </c>
      <c r="B34">
        <v>1206</v>
      </c>
      <c r="C34">
        <v>65990</v>
      </c>
      <c r="D34">
        <v>457</v>
      </c>
      <c r="E34">
        <v>50253</v>
      </c>
      <c r="F34">
        <v>0.009638</v>
      </c>
      <c r="G34">
        <v>48104</v>
      </c>
      <c r="H34">
        <v>1.93628</v>
      </c>
      <c r="I34">
        <v>48076</v>
      </c>
      <c r="J34">
        <v>313.688</v>
      </c>
      <c r="K34">
        <v>671</v>
      </c>
      <c r="L34">
        <v>0</v>
      </c>
      <c r="M34">
        <v>-1</v>
      </c>
      <c r="N34">
        <v>95</v>
      </c>
      <c r="O34">
        <v>0.034114</v>
      </c>
      <c r="P34">
        <v>95</v>
      </c>
      <c r="Q34">
        <v>600</v>
      </c>
      <c r="R34" s="1">
        <v>600</v>
      </c>
      <c r="T34">
        <f t="shared" si="0"/>
        <v>0</v>
      </c>
      <c r="U34" s="1">
        <f t="shared" si="1"/>
        <v>0</v>
      </c>
    </row>
    <row r="35" spans="1:21">
      <c r="A35" t="s">
        <v>95</v>
      </c>
      <c r="B35">
        <v>17151</v>
      </c>
      <c r="C35">
        <v>24015</v>
      </c>
      <c r="D35">
        <v>156</v>
      </c>
      <c r="E35">
        <v>1420</v>
      </c>
      <c r="F35">
        <v>0.001444</v>
      </c>
      <c r="G35">
        <v>1203</v>
      </c>
      <c r="H35">
        <v>0.003268</v>
      </c>
      <c r="I35">
        <v>1200</v>
      </c>
      <c r="J35">
        <v>0.516709</v>
      </c>
      <c r="K35">
        <v>1176</v>
      </c>
      <c r="L35">
        <v>97</v>
      </c>
      <c r="M35">
        <v>2.09182</v>
      </c>
      <c r="N35">
        <v>11</v>
      </c>
      <c r="O35">
        <v>0.003677</v>
      </c>
      <c r="P35">
        <v>12</v>
      </c>
      <c r="Q35">
        <v>2.70099</v>
      </c>
      <c r="R35" s="1">
        <v>0.598666</v>
      </c>
      <c r="T35">
        <f t="shared" si="0"/>
        <v>0</v>
      </c>
      <c r="U35" s="1">
        <f t="shared" si="1"/>
        <v>1</v>
      </c>
    </row>
    <row r="36" spans="1:21">
      <c r="A36" t="s">
        <v>96</v>
      </c>
      <c r="B36">
        <v>72</v>
      </c>
      <c r="C36">
        <v>355</v>
      </c>
      <c r="D36">
        <v>18</v>
      </c>
      <c r="E36">
        <v>150</v>
      </c>
      <c r="F36" s="3" t="s">
        <v>49</v>
      </c>
      <c r="G36">
        <v>150</v>
      </c>
      <c r="H36">
        <v>0.000246</v>
      </c>
      <c r="I36">
        <v>150</v>
      </c>
      <c r="J36" s="3" t="s">
        <v>116</v>
      </c>
      <c r="K36">
        <v>1</v>
      </c>
      <c r="L36">
        <v>0</v>
      </c>
      <c r="M36">
        <v>0.007604</v>
      </c>
      <c r="N36">
        <v>15</v>
      </c>
      <c r="O36" s="3" t="s">
        <v>196</v>
      </c>
      <c r="P36">
        <v>15</v>
      </c>
      <c r="Q36">
        <v>0.018519</v>
      </c>
      <c r="R36" s="1">
        <v>0.011983</v>
      </c>
      <c r="T36">
        <f t="shared" si="0"/>
        <v>0</v>
      </c>
      <c r="U36" s="1">
        <f t="shared" si="1"/>
        <v>1</v>
      </c>
    </row>
    <row r="37" spans="1:21">
      <c r="A37" t="s">
        <v>99</v>
      </c>
      <c r="B37">
        <v>34</v>
      </c>
      <c r="C37">
        <v>96</v>
      </c>
      <c r="D37">
        <v>12</v>
      </c>
      <c r="E37">
        <v>53</v>
      </c>
      <c r="F37" s="3" t="s">
        <v>109</v>
      </c>
      <c r="G37">
        <v>53</v>
      </c>
      <c r="H37" s="3" t="s">
        <v>25</v>
      </c>
      <c r="I37">
        <v>53</v>
      </c>
      <c r="J37">
        <v>0.000811</v>
      </c>
      <c r="K37">
        <v>21</v>
      </c>
      <c r="L37">
        <v>0</v>
      </c>
      <c r="M37">
        <v>0.010106</v>
      </c>
      <c r="N37">
        <v>7</v>
      </c>
      <c r="O37" s="3" t="s">
        <v>109</v>
      </c>
      <c r="P37">
        <v>7</v>
      </c>
      <c r="Q37">
        <v>0.030896</v>
      </c>
      <c r="R37" s="1">
        <v>0.009969</v>
      </c>
      <c r="T37">
        <f t="shared" si="0"/>
        <v>0</v>
      </c>
      <c r="U37" s="1">
        <f t="shared" si="1"/>
        <v>1</v>
      </c>
    </row>
    <row r="38" spans="1:21">
      <c r="A38" t="s">
        <v>101</v>
      </c>
      <c r="B38">
        <v>72</v>
      </c>
      <c r="C38">
        <v>129</v>
      </c>
      <c r="D38">
        <v>12</v>
      </c>
      <c r="E38">
        <v>53</v>
      </c>
      <c r="F38" s="3" t="s">
        <v>83</v>
      </c>
      <c r="G38">
        <v>35</v>
      </c>
      <c r="H38" s="3" t="s">
        <v>25</v>
      </c>
      <c r="I38">
        <v>35</v>
      </c>
      <c r="J38">
        <v>0.002101</v>
      </c>
      <c r="K38">
        <v>7</v>
      </c>
      <c r="L38">
        <v>0</v>
      </c>
      <c r="M38">
        <v>0.003699</v>
      </c>
      <c r="N38">
        <v>7</v>
      </c>
      <c r="O38" s="3" t="s">
        <v>108</v>
      </c>
      <c r="P38">
        <v>7</v>
      </c>
      <c r="Q38">
        <v>0.012413</v>
      </c>
      <c r="R38" s="1">
        <v>0.010416</v>
      </c>
      <c r="T38">
        <f t="shared" si="0"/>
        <v>0</v>
      </c>
      <c r="U38" s="1">
        <f t="shared" si="1"/>
        <v>1</v>
      </c>
    </row>
    <row r="39" spans="1:21">
      <c r="A39" t="s">
        <v>104</v>
      </c>
      <c r="B39">
        <v>80</v>
      </c>
      <c r="C39">
        <v>226</v>
      </c>
      <c r="D39">
        <v>18</v>
      </c>
      <c r="E39">
        <v>103</v>
      </c>
      <c r="F39" s="3" t="s">
        <v>103</v>
      </c>
      <c r="G39">
        <v>80</v>
      </c>
      <c r="H39" s="3" t="s">
        <v>197</v>
      </c>
      <c r="I39">
        <v>80</v>
      </c>
      <c r="J39">
        <v>0.003203</v>
      </c>
      <c r="K39">
        <v>26</v>
      </c>
      <c r="L39">
        <v>0</v>
      </c>
      <c r="M39">
        <v>0.003602</v>
      </c>
      <c r="N39">
        <v>8</v>
      </c>
      <c r="O39" s="3" t="s">
        <v>105</v>
      </c>
      <c r="P39">
        <v>9</v>
      </c>
      <c r="Q39">
        <v>0.015009</v>
      </c>
      <c r="R39" s="1">
        <v>0.079472</v>
      </c>
      <c r="T39">
        <f t="shared" si="0"/>
        <v>1</v>
      </c>
      <c r="U39" s="1">
        <f t="shared" si="1"/>
        <v>0</v>
      </c>
    </row>
    <row r="40" spans="1:21">
      <c r="A40" t="s">
        <v>106</v>
      </c>
      <c r="B40">
        <v>34</v>
      </c>
      <c r="C40">
        <v>41</v>
      </c>
      <c r="D40">
        <v>6</v>
      </c>
      <c r="E40">
        <v>14</v>
      </c>
      <c r="F40" s="3" t="s">
        <v>107</v>
      </c>
      <c r="G40">
        <v>14</v>
      </c>
      <c r="H40" s="3" t="s">
        <v>126</v>
      </c>
      <c r="I40">
        <v>14</v>
      </c>
      <c r="J40" s="3" t="s">
        <v>57</v>
      </c>
      <c r="K40">
        <v>2</v>
      </c>
      <c r="L40">
        <v>1</v>
      </c>
      <c r="M40">
        <v>0.010511</v>
      </c>
      <c r="N40">
        <v>4</v>
      </c>
      <c r="O40" s="3" t="s">
        <v>109</v>
      </c>
      <c r="P40">
        <v>4</v>
      </c>
      <c r="Q40">
        <v>0.031186</v>
      </c>
      <c r="R40" s="1">
        <v>0.015517</v>
      </c>
      <c r="T40">
        <f t="shared" si="0"/>
        <v>0</v>
      </c>
      <c r="U40" s="1">
        <f t="shared" si="1"/>
        <v>1</v>
      </c>
    </row>
    <row r="41" spans="1:21">
      <c r="A41" t="s">
        <v>110</v>
      </c>
      <c r="B41">
        <v>31</v>
      </c>
      <c r="C41">
        <v>39</v>
      </c>
      <c r="D41">
        <v>6</v>
      </c>
      <c r="E41">
        <v>15</v>
      </c>
      <c r="F41" s="3" t="s">
        <v>111</v>
      </c>
      <c r="G41">
        <v>15</v>
      </c>
      <c r="H41" s="3" t="s">
        <v>108</v>
      </c>
      <c r="I41">
        <v>15</v>
      </c>
      <c r="J41" s="3" t="s">
        <v>51</v>
      </c>
      <c r="K41">
        <v>1</v>
      </c>
      <c r="L41">
        <v>0</v>
      </c>
      <c r="M41">
        <v>0.00439</v>
      </c>
      <c r="N41">
        <v>5</v>
      </c>
      <c r="O41" s="3" t="s">
        <v>109</v>
      </c>
      <c r="P41">
        <v>5</v>
      </c>
      <c r="Q41">
        <v>0.01267</v>
      </c>
      <c r="R41" s="1">
        <v>0.01255</v>
      </c>
      <c r="T41">
        <f t="shared" si="0"/>
        <v>0</v>
      </c>
      <c r="U41" s="1">
        <f t="shared" si="1"/>
        <v>1</v>
      </c>
    </row>
    <row r="42" spans="1:21">
      <c r="A42" t="s">
        <v>112</v>
      </c>
      <c r="B42">
        <v>135</v>
      </c>
      <c r="C42">
        <v>1078</v>
      </c>
      <c r="D42">
        <v>37</v>
      </c>
      <c r="E42">
        <v>511</v>
      </c>
      <c r="F42">
        <v>0.000122</v>
      </c>
      <c r="G42">
        <v>486</v>
      </c>
      <c r="H42">
        <v>0.001614</v>
      </c>
      <c r="I42">
        <v>486</v>
      </c>
      <c r="J42">
        <v>0.03242</v>
      </c>
      <c r="K42">
        <v>75</v>
      </c>
      <c r="L42">
        <v>3</v>
      </c>
      <c r="M42">
        <v>0.074014</v>
      </c>
      <c r="N42">
        <v>20</v>
      </c>
      <c r="O42">
        <v>0.000132</v>
      </c>
      <c r="P42">
        <v>20</v>
      </c>
      <c r="Q42">
        <v>0.205453</v>
      </c>
      <c r="R42" s="1">
        <v>0.03629</v>
      </c>
      <c r="T42">
        <f t="shared" si="0"/>
        <v>0</v>
      </c>
      <c r="U42" s="1">
        <f t="shared" si="1"/>
        <v>1</v>
      </c>
    </row>
    <row r="43" spans="1:21">
      <c r="A43" t="s">
        <v>114</v>
      </c>
      <c r="B43">
        <v>13</v>
      </c>
      <c r="C43">
        <v>7</v>
      </c>
      <c r="D43">
        <v>1</v>
      </c>
      <c r="E43">
        <v>0</v>
      </c>
      <c r="F43" s="3" t="s">
        <v>51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3" t="s">
        <v>69</v>
      </c>
      <c r="N43">
        <v>2</v>
      </c>
      <c r="O43" s="3" t="s">
        <v>116</v>
      </c>
      <c r="P43">
        <v>2</v>
      </c>
      <c r="Q43">
        <v>0.015699</v>
      </c>
      <c r="R43" s="1">
        <v>0.005788</v>
      </c>
      <c r="T43">
        <f t="shared" si="0"/>
        <v>0</v>
      </c>
      <c r="U43" s="1">
        <f t="shared" si="1"/>
        <v>1</v>
      </c>
    </row>
    <row r="44" spans="1:21">
      <c r="A44" t="s">
        <v>115</v>
      </c>
      <c r="B44">
        <v>5</v>
      </c>
      <c r="C44">
        <v>6</v>
      </c>
      <c r="D44">
        <v>4</v>
      </c>
      <c r="E44">
        <v>5</v>
      </c>
      <c r="F44" s="3" t="s">
        <v>26</v>
      </c>
      <c r="G44">
        <v>5</v>
      </c>
      <c r="H44" s="3" t="s">
        <v>111</v>
      </c>
      <c r="I44">
        <v>5</v>
      </c>
      <c r="J44" s="3" t="s">
        <v>51</v>
      </c>
      <c r="K44">
        <v>2</v>
      </c>
      <c r="L44">
        <v>1</v>
      </c>
      <c r="M44">
        <v>0.008454</v>
      </c>
      <c r="N44">
        <v>2</v>
      </c>
      <c r="O44" s="3" t="s">
        <v>116</v>
      </c>
      <c r="P44">
        <v>2</v>
      </c>
      <c r="Q44">
        <v>0.019146</v>
      </c>
      <c r="R44" s="1">
        <v>0.010501</v>
      </c>
      <c r="T44">
        <f t="shared" si="0"/>
        <v>0</v>
      </c>
      <c r="U44" s="1">
        <f t="shared" si="1"/>
        <v>1</v>
      </c>
    </row>
    <row r="45" spans="1:21">
      <c r="A45" t="s">
        <v>117</v>
      </c>
      <c r="B45">
        <v>22</v>
      </c>
      <c r="C45">
        <v>12</v>
      </c>
      <c r="D45">
        <v>2</v>
      </c>
      <c r="E45">
        <v>1</v>
      </c>
      <c r="F45" s="3" t="s">
        <v>69</v>
      </c>
      <c r="G45">
        <v>0</v>
      </c>
      <c r="H45" s="3" t="s">
        <v>69</v>
      </c>
      <c r="I45">
        <v>0</v>
      </c>
      <c r="J45" s="3" t="s">
        <v>57</v>
      </c>
      <c r="K45">
        <v>0</v>
      </c>
      <c r="L45">
        <v>0</v>
      </c>
      <c r="M45">
        <v>0.007855</v>
      </c>
      <c r="N45">
        <v>2</v>
      </c>
      <c r="O45" s="3" t="s">
        <v>83</v>
      </c>
      <c r="P45">
        <v>2</v>
      </c>
      <c r="Q45">
        <v>0.07385</v>
      </c>
      <c r="R45" s="1">
        <v>0.006493</v>
      </c>
      <c r="T45">
        <f t="shared" si="0"/>
        <v>0</v>
      </c>
      <c r="U45" s="1">
        <f t="shared" si="1"/>
        <v>1</v>
      </c>
    </row>
    <row r="46" spans="1:21">
      <c r="A46" t="s">
        <v>118</v>
      </c>
      <c r="B46">
        <v>62</v>
      </c>
      <c r="C46">
        <v>442</v>
      </c>
      <c r="D46">
        <v>22</v>
      </c>
      <c r="E46">
        <v>207</v>
      </c>
      <c r="F46" s="3" t="s">
        <v>55</v>
      </c>
      <c r="G46">
        <v>168</v>
      </c>
      <c r="H46">
        <v>0.000392</v>
      </c>
      <c r="I46">
        <v>168</v>
      </c>
      <c r="J46">
        <v>0.008207</v>
      </c>
      <c r="K46">
        <v>15</v>
      </c>
      <c r="L46">
        <v>0</v>
      </c>
      <c r="M46">
        <v>0.00998</v>
      </c>
      <c r="N46">
        <v>16</v>
      </c>
      <c r="O46" s="3" t="s">
        <v>130</v>
      </c>
      <c r="P46">
        <v>16</v>
      </c>
      <c r="Q46">
        <v>0.030256</v>
      </c>
      <c r="R46" s="1">
        <v>0.017499</v>
      </c>
      <c r="T46">
        <f t="shared" si="0"/>
        <v>0</v>
      </c>
      <c r="U46" s="1">
        <f t="shared" si="1"/>
        <v>1</v>
      </c>
    </row>
    <row r="47" spans="1:21">
      <c r="A47" t="s">
        <v>120</v>
      </c>
      <c r="B47">
        <v>21</v>
      </c>
      <c r="C47">
        <v>23</v>
      </c>
      <c r="D47">
        <v>6</v>
      </c>
      <c r="E47">
        <v>15</v>
      </c>
      <c r="F47" s="3" t="s">
        <v>111</v>
      </c>
      <c r="G47">
        <v>15</v>
      </c>
      <c r="H47" s="3" t="s">
        <v>39</v>
      </c>
      <c r="I47">
        <v>15</v>
      </c>
      <c r="J47" s="3" t="s">
        <v>57</v>
      </c>
      <c r="K47">
        <v>1</v>
      </c>
      <c r="L47">
        <v>0</v>
      </c>
      <c r="M47">
        <v>0.010929</v>
      </c>
      <c r="N47">
        <v>5</v>
      </c>
      <c r="O47" s="3" t="s">
        <v>111</v>
      </c>
      <c r="P47">
        <v>5</v>
      </c>
      <c r="Q47">
        <v>0.02988</v>
      </c>
      <c r="R47" s="1">
        <v>0.008713</v>
      </c>
      <c r="T47">
        <f t="shared" si="0"/>
        <v>0</v>
      </c>
      <c r="U47" s="1">
        <f t="shared" si="1"/>
        <v>1</v>
      </c>
    </row>
    <row r="48" spans="1:21">
      <c r="A48" t="s">
        <v>122</v>
      </c>
      <c r="B48">
        <v>10</v>
      </c>
      <c r="C48">
        <v>5</v>
      </c>
      <c r="D48">
        <v>0</v>
      </c>
      <c r="E48">
        <v>0</v>
      </c>
      <c r="F48" s="3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3" t="s">
        <v>84</v>
      </c>
      <c r="N48">
        <v>2</v>
      </c>
      <c r="O48" s="3" t="s">
        <v>69</v>
      </c>
      <c r="P48">
        <v>2</v>
      </c>
      <c r="Q48">
        <v>0.005664</v>
      </c>
      <c r="R48" s="1">
        <v>0.005338</v>
      </c>
      <c r="T48">
        <f t="shared" si="0"/>
        <v>0</v>
      </c>
      <c r="U48" s="1">
        <f t="shared" si="1"/>
        <v>1</v>
      </c>
    </row>
    <row r="49" spans="1:21">
      <c r="A49" t="s">
        <v>123</v>
      </c>
      <c r="B49">
        <v>27</v>
      </c>
      <c r="C49">
        <v>26</v>
      </c>
      <c r="D49">
        <v>12</v>
      </c>
      <c r="E49">
        <v>16</v>
      </c>
      <c r="F49" s="3" t="s">
        <v>116</v>
      </c>
      <c r="G49">
        <v>13</v>
      </c>
      <c r="H49" s="3" t="s">
        <v>121</v>
      </c>
      <c r="I49">
        <v>10</v>
      </c>
      <c r="J49">
        <v>0.001275</v>
      </c>
      <c r="K49">
        <v>4</v>
      </c>
      <c r="L49">
        <v>1</v>
      </c>
      <c r="M49">
        <v>0.008753</v>
      </c>
      <c r="N49">
        <v>2</v>
      </c>
      <c r="O49" s="3" t="s">
        <v>116</v>
      </c>
      <c r="P49">
        <v>3</v>
      </c>
      <c r="Q49">
        <v>0.023551</v>
      </c>
      <c r="R49" s="1">
        <v>0.011463</v>
      </c>
      <c r="T49">
        <f t="shared" si="0"/>
        <v>0</v>
      </c>
      <c r="U49" s="1">
        <f t="shared" si="1"/>
        <v>1</v>
      </c>
    </row>
    <row r="50" spans="1:21">
      <c r="A50" t="s">
        <v>124</v>
      </c>
      <c r="B50">
        <v>273</v>
      </c>
      <c r="C50">
        <v>4510</v>
      </c>
      <c r="D50">
        <v>98</v>
      </c>
      <c r="E50">
        <v>2781</v>
      </c>
      <c r="F50">
        <v>0.000348</v>
      </c>
      <c r="G50">
        <v>2753</v>
      </c>
      <c r="H50">
        <v>0.010952</v>
      </c>
      <c r="I50">
        <v>2753</v>
      </c>
      <c r="J50">
        <v>0.87513</v>
      </c>
      <c r="K50">
        <v>894</v>
      </c>
      <c r="L50">
        <v>3</v>
      </c>
      <c r="M50">
        <v>0.218096</v>
      </c>
      <c r="N50">
        <v>30</v>
      </c>
      <c r="O50">
        <v>0.00063</v>
      </c>
      <c r="P50">
        <v>37</v>
      </c>
      <c r="Q50">
        <v>1.13259</v>
      </c>
      <c r="R50" s="1">
        <v>0.976105</v>
      </c>
      <c r="T50">
        <f t="shared" si="0"/>
        <v>0</v>
      </c>
      <c r="U50" s="1">
        <f t="shared" si="1"/>
        <v>1</v>
      </c>
    </row>
    <row r="51" spans="1:21">
      <c r="A51" t="s">
        <v>125</v>
      </c>
      <c r="B51">
        <v>102</v>
      </c>
      <c r="C51">
        <v>108</v>
      </c>
      <c r="D51">
        <v>11</v>
      </c>
      <c r="E51">
        <v>33</v>
      </c>
      <c r="F51" s="3" t="s">
        <v>83</v>
      </c>
      <c r="G51">
        <v>33</v>
      </c>
      <c r="H51" s="3" t="s">
        <v>186</v>
      </c>
      <c r="I51">
        <v>33</v>
      </c>
      <c r="J51">
        <v>0.00314</v>
      </c>
      <c r="K51">
        <v>8</v>
      </c>
      <c r="L51">
        <v>0</v>
      </c>
      <c r="M51">
        <v>0.009278</v>
      </c>
      <c r="N51">
        <v>4</v>
      </c>
      <c r="O51" s="3" t="s">
        <v>22</v>
      </c>
      <c r="P51">
        <v>5</v>
      </c>
      <c r="Q51">
        <v>0.023792</v>
      </c>
      <c r="R51" s="1">
        <v>0.013234</v>
      </c>
      <c r="T51">
        <f t="shared" si="0"/>
        <v>0</v>
      </c>
      <c r="U51" s="1">
        <f t="shared" si="1"/>
        <v>1</v>
      </c>
    </row>
    <row r="52" spans="1:21">
      <c r="A52" t="s">
        <v>127</v>
      </c>
      <c r="B52">
        <v>8</v>
      </c>
      <c r="C52">
        <v>4</v>
      </c>
      <c r="D52">
        <v>0</v>
      </c>
      <c r="E52">
        <v>0</v>
      </c>
      <c r="F52" s="3" t="s">
        <v>57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3" t="s">
        <v>51</v>
      </c>
      <c r="N52">
        <v>2</v>
      </c>
      <c r="O52" s="3" t="s">
        <v>69</v>
      </c>
      <c r="P52">
        <v>2</v>
      </c>
      <c r="Q52">
        <v>0.008167</v>
      </c>
      <c r="R52" s="1">
        <v>0.004806</v>
      </c>
      <c r="T52">
        <f t="shared" si="0"/>
        <v>0</v>
      </c>
      <c r="U52" s="1">
        <f t="shared" si="1"/>
        <v>1</v>
      </c>
    </row>
    <row r="53" spans="1:21">
      <c r="A53" t="s">
        <v>128</v>
      </c>
      <c r="B53">
        <v>55</v>
      </c>
      <c r="C53">
        <v>60</v>
      </c>
      <c r="D53">
        <v>8</v>
      </c>
      <c r="E53">
        <v>20</v>
      </c>
      <c r="F53" s="3" t="s">
        <v>107</v>
      </c>
      <c r="G53">
        <v>10</v>
      </c>
      <c r="H53" s="3" t="s">
        <v>126</v>
      </c>
      <c r="I53">
        <v>10</v>
      </c>
      <c r="J53">
        <v>0.001166</v>
      </c>
      <c r="K53">
        <v>4</v>
      </c>
      <c r="L53">
        <v>0</v>
      </c>
      <c r="M53">
        <v>0.003574</v>
      </c>
      <c r="N53">
        <v>4</v>
      </c>
      <c r="O53" s="3" t="s">
        <v>56</v>
      </c>
      <c r="P53">
        <v>4</v>
      </c>
      <c r="Q53">
        <v>0.012588</v>
      </c>
      <c r="R53" s="1">
        <v>0.011329</v>
      </c>
      <c r="T53">
        <f t="shared" si="0"/>
        <v>0</v>
      </c>
      <c r="U53" s="1">
        <f t="shared" si="1"/>
        <v>1</v>
      </c>
    </row>
    <row r="54" spans="1:21">
      <c r="A54" t="s">
        <v>129</v>
      </c>
      <c r="B54">
        <v>127</v>
      </c>
      <c r="C54">
        <v>931</v>
      </c>
      <c r="D54">
        <v>38</v>
      </c>
      <c r="E54">
        <v>449</v>
      </c>
      <c r="F54" s="3" t="s">
        <v>189</v>
      </c>
      <c r="G54">
        <v>408</v>
      </c>
      <c r="H54">
        <v>0.000721</v>
      </c>
      <c r="I54">
        <v>408</v>
      </c>
      <c r="J54">
        <v>0.0295</v>
      </c>
      <c r="K54">
        <v>96</v>
      </c>
      <c r="L54">
        <v>0</v>
      </c>
      <c r="M54">
        <v>0.011509</v>
      </c>
      <c r="N54">
        <v>16</v>
      </c>
      <c r="O54" s="3" t="s">
        <v>38</v>
      </c>
      <c r="P54">
        <v>17</v>
      </c>
      <c r="Q54">
        <v>0.050116</v>
      </c>
      <c r="R54" s="1">
        <v>0.033722</v>
      </c>
      <c r="T54">
        <f t="shared" si="0"/>
        <v>0</v>
      </c>
      <c r="U54" s="1">
        <f t="shared" si="1"/>
        <v>1</v>
      </c>
    </row>
    <row r="55" spans="1:21">
      <c r="A55" t="s">
        <v>131</v>
      </c>
      <c r="B55">
        <v>16</v>
      </c>
      <c r="C55">
        <v>13</v>
      </c>
      <c r="D55">
        <v>5</v>
      </c>
      <c r="E55">
        <v>5</v>
      </c>
      <c r="F55" s="3" t="s">
        <v>69</v>
      </c>
      <c r="G55">
        <v>5</v>
      </c>
      <c r="H55" s="3" t="s">
        <v>26</v>
      </c>
      <c r="I55">
        <v>5</v>
      </c>
      <c r="J55" s="3" t="s">
        <v>57</v>
      </c>
      <c r="K55">
        <v>2</v>
      </c>
      <c r="L55">
        <v>1</v>
      </c>
      <c r="M55">
        <v>0.004281</v>
      </c>
      <c r="N55">
        <v>2</v>
      </c>
      <c r="O55" s="3" t="s">
        <v>26</v>
      </c>
      <c r="P55">
        <v>2</v>
      </c>
      <c r="Q55">
        <v>0.010265</v>
      </c>
      <c r="R55" s="1">
        <v>0.012673</v>
      </c>
      <c r="T55">
        <f t="shared" si="0"/>
        <v>1</v>
      </c>
      <c r="U55" s="1">
        <f t="shared" si="1"/>
        <v>0</v>
      </c>
    </row>
    <row r="56" spans="1:21">
      <c r="A56" t="s">
        <v>132</v>
      </c>
      <c r="B56">
        <v>35</v>
      </c>
      <c r="C56">
        <v>368</v>
      </c>
      <c r="D56">
        <v>27</v>
      </c>
      <c r="E56">
        <v>351</v>
      </c>
      <c r="F56">
        <v>0.0001</v>
      </c>
      <c r="G56">
        <v>351</v>
      </c>
      <c r="H56">
        <v>0.001557</v>
      </c>
      <c r="I56">
        <v>351</v>
      </c>
      <c r="J56" s="3" t="s">
        <v>84</v>
      </c>
      <c r="K56">
        <v>1</v>
      </c>
      <c r="L56">
        <v>0</v>
      </c>
      <c r="M56">
        <v>0.011631</v>
      </c>
      <c r="N56">
        <v>26</v>
      </c>
      <c r="O56" s="3" t="s">
        <v>182</v>
      </c>
      <c r="P56">
        <v>26</v>
      </c>
      <c r="Q56">
        <v>0.030779</v>
      </c>
      <c r="R56" s="1">
        <v>0.016449</v>
      </c>
      <c r="T56">
        <f t="shared" si="0"/>
        <v>0</v>
      </c>
      <c r="U56" s="1">
        <f t="shared" si="1"/>
        <v>1</v>
      </c>
    </row>
    <row r="57" spans="1:21">
      <c r="A57" t="s">
        <v>134</v>
      </c>
      <c r="B57">
        <v>26</v>
      </c>
      <c r="C57">
        <v>15</v>
      </c>
      <c r="D57">
        <v>3</v>
      </c>
      <c r="E57">
        <v>1</v>
      </c>
      <c r="F57" s="3" t="s">
        <v>69</v>
      </c>
      <c r="G57">
        <v>0</v>
      </c>
      <c r="H57" s="3" t="s">
        <v>69</v>
      </c>
      <c r="I57">
        <v>0</v>
      </c>
      <c r="J57">
        <v>0</v>
      </c>
      <c r="K57">
        <v>0</v>
      </c>
      <c r="L57">
        <v>0</v>
      </c>
      <c r="M57">
        <v>0.003529</v>
      </c>
      <c r="N57">
        <v>2</v>
      </c>
      <c r="O57" s="3" t="s">
        <v>107</v>
      </c>
      <c r="P57">
        <v>2</v>
      </c>
      <c r="Q57">
        <v>0.014861</v>
      </c>
      <c r="R57" s="1">
        <v>0.004915</v>
      </c>
      <c r="T57">
        <f t="shared" si="0"/>
        <v>0</v>
      </c>
      <c r="U57" s="1">
        <f t="shared" si="1"/>
        <v>1</v>
      </c>
    </row>
    <row r="58" spans="1:21">
      <c r="A58" t="s">
        <v>135</v>
      </c>
      <c r="B58">
        <v>14</v>
      </c>
      <c r="C58">
        <v>11</v>
      </c>
      <c r="D58">
        <v>5</v>
      </c>
      <c r="E58">
        <v>3</v>
      </c>
      <c r="F58" s="3" t="s">
        <v>69</v>
      </c>
      <c r="G58">
        <v>3</v>
      </c>
      <c r="H58" s="3" t="s">
        <v>69</v>
      </c>
      <c r="I58">
        <v>3</v>
      </c>
      <c r="J58" s="3" t="s">
        <v>57</v>
      </c>
      <c r="K58">
        <v>1</v>
      </c>
      <c r="L58">
        <v>0</v>
      </c>
      <c r="M58">
        <v>0.004081</v>
      </c>
      <c r="N58">
        <v>2</v>
      </c>
      <c r="O58" s="3" t="s">
        <v>69</v>
      </c>
      <c r="P58">
        <v>2</v>
      </c>
      <c r="Q58">
        <v>0.010183</v>
      </c>
      <c r="R58" s="1">
        <v>0.014131</v>
      </c>
      <c r="T58">
        <f t="shared" si="0"/>
        <v>1</v>
      </c>
      <c r="U58" s="1">
        <f t="shared" si="1"/>
        <v>0</v>
      </c>
    </row>
    <row r="59" spans="1:21">
      <c r="A59" t="s">
        <v>136</v>
      </c>
      <c r="B59">
        <v>28</v>
      </c>
      <c r="C59">
        <v>91</v>
      </c>
      <c r="D59">
        <v>12</v>
      </c>
      <c r="E59">
        <v>55</v>
      </c>
      <c r="F59" s="3" t="s">
        <v>46</v>
      </c>
      <c r="G59">
        <v>55</v>
      </c>
      <c r="H59" s="3" t="s">
        <v>198</v>
      </c>
      <c r="I59">
        <v>55</v>
      </c>
      <c r="J59">
        <v>0.001121</v>
      </c>
      <c r="K59">
        <v>21</v>
      </c>
      <c r="L59">
        <v>0</v>
      </c>
      <c r="M59">
        <v>0.013112</v>
      </c>
      <c r="N59">
        <v>7</v>
      </c>
      <c r="O59" s="3" t="s">
        <v>46</v>
      </c>
      <c r="P59">
        <v>7</v>
      </c>
      <c r="Q59">
        <v>0.022698</v>
      </c>
      <c r="R59" s="1">
        <v>0.008085</v>
      </c>
      <c r="T59">
        <f t="shared" si="0"/>
        <v>0</v>
      </c>
      <c r="U59" s="1">
        <f t="shared" si="1"/>
        <v>1</v>
      </c>
    </row>
    <row r="60" spans="1:21">
      <c r="A60" t="s">
        <v>138</v>
      </c>
      <c r="B60">
        <v>26</v>
      </c>
      <c r="C60">
        <v>18</v>
      </c>
      <c r="D60">
        <v>6</v>
      </c>
      <c r="E60">
        <v>6</v>
      </c>
      <c r="F60" s="3" t="s">
        <v>116</v>
      </c>
      <c r="G60">
        <v>5</v>
      </c>
      <c r="H60" s="3" t="s">
        <v>111</v>
      </c>
      <c r="I60">
        <v>4</v>
      </c>
      <c r="J60">
        <v>0.00094</v>
      </c>
      <c r="K60">
        <v>1</v>
      </c>
      <c r="L60">
        <v>0</v>
      </c>
      <c r="M60">
        <v>0.005507</v>
      </c>
      <c r="N60">
        <v>2</v>
      </c>
      <c r="O60" s="3" t="s">
        <v>56</v>
      </c>
      <c r="P60">
        <v>2</v>
      </c>
      <c r="Q60">
        <v>0.016271</v>
      </c>
      <c r="R60" s="1">
        <v>0.034903</v>
      </c>
      <c r="T60">
        <f t="shared" si="0"/>
        <v>1</v>
      </c>
      <c r="U60" s="1">
        <f t="shared" si="1"/>
        <v>0</v>
      </c>
    </row>
    <row r="61" spans="1:21">
      <c r="A61" t="s">
        <v>139</v>
      </c>
      <c r="B61">
        <v>13</v>
      </c>
      <c r="C61">
        <v>8</v>
      </c>
      <c r="D61">
        <v>2</v>
      </c>
      <c r="E61">
        <v>1</v>
      </c>
      <c r="F61" s="3" t="s">
        <v>51</v>
      </c>
      <c r="G61">
        <v>0</v>
      </c>
      <c r="H61" s="3" t="s">
        <v>57</v>
      </c>
      <c r="I61">
        <v>0</v>
      </c>
      <c r="J61">
        <v>0</v>
      </c>
      <c r="K61">
        <v>0</v>
      </c>
      <c r="L61">
        <v>0</v>
      </c>
      <c r="M61">
        <v>0.002335</v>
      </c>
      <c r="N61">
        <v>2</v>
      </c>
      <c r="O61" s="3" t="s">
        <v>69</v>
      </c>
      <c r="P61">
        <v>2</v>
      </c>
      <c r="Q61">
        <v>0.008236</v>
      </c>
      <c r="R61" s="1">
        <v>0.007205</v>
      </c>
      <c r="T61">
        <f t="shared" si="0"/>
        <v>0</v>
      </c>
      <c r="U61" s="1">
        <f t="shared" si="1"/>
        <v>1</v>
      </c>
    </row>
    <row r="62" spans="1:21">
      <c r="A62" t="s">
        <v>140</v>
      </c>
      <c r="B62">
        <v>18</v>
      </c>
      <c r="C62">
        <v>12</v>
      </c>
      <c r="D62">
        <v>5</v>
      </c>
      <c r="E62">
        <v>3</v>
      </c>
      <c r="F62" s="3" t="s">
        <v>51</v>
      </c>
      <c r="G62">
        <v>3</v>
      </c>
      <c r="H62" s="3" t="s">
        <v>69</v>
      </c>
      <c r="I62">
        <v>3</v>
      </c>
      <c r="J62" s="3" t="s">
        <v>57</v>
      </c>
      <c r="K62">
        <v>1</v>
      </c>
      <c r="L62">
        <v>0</v>
      </c>
      <c r="M62">
        <v>0.004059</v>
      </c>
      <c r="N62">
        <v>2</v>
      </c>
      <c r="O62" s="3" t="s">
        <v>116</v>
      </c>
      <c r="P62">
        <v>2</v>
      </c>
      <c r="Q62">
        <v>0.015287</v>
      </c>
      <c r="R62" s="1">
        <v>0.01033</v>
      </c>
      <c r="T62">
        <f t="shared" si="0"/>
        <v>0</v>
      </c>
      <c r="U62" s="1">
        <f t="shared" si="1"/>
        <v>1</v>
      </c>
    </row>
    <row r="63" spans="1:21">
      <c r="A63" t="s">
        <v>141</v>
      </c>
      <c r="B63">
        <v>7</v>
      </c>
      <c r="C63">
        <v>5</v>
      </c>
      <c r="D63">
        <v>3</v>
      </c>
      <c r="E63">
        <v>3</v>
      </c>
      <c r="F63" s="3" t="s">
        <v>51</v>
      </c>
      <c r="G63">
        <v>3</v>
      </c>
      <c r="H63" s="3" t="s">
        <v>69</v>
      </c>
      <c r="I63">
        <v>3</v>
      </c>
      <c r="J63" s="3" t="s">
        <v>57</v>
      </c>
      <c r="K63">
        <v>1</v>
      </c>
      <c r="L63">
        <v>0</v>
      </c>
      <c r="M63">
        <v>0.004942</v>
      </c>
      <c r="N63">
        <v>2</v>
      </c>
      <c r="O63" s="3" t="s">
        <v>51</v>
      </c>
      <c r="P63">
        <v>2</v>
      </c>
      <c r="Q63">
        <v>0.01642</v>
      </c>
      <c r="R63" s="1">
        <v>0.016359</v>
      </c>
      <c r="T63">
        <f t="shared" si="0"/>
        <v>0</v>
      </c>
      <c r="U63" s="1">
        <f t="shared" si="1"/>
        <v>1</v>
      </c>
    </row>
    <row r="64" spans="1:21">
      <c r="A64" t="s">
        <v>142</v>
      </c>
      <c r="B64">
        <v>2623</v>
      </c>
      <c r="C64">
        <v>473614</v>
      </c>
      <c r="D64">
        <v>1260</v>
      </c>
      <c r="E64">
        <v>449592</v>
      </c>
      <c r="F64">
        <v>0.100745</v>
      </c>
      <c r="G64">
        <v>-1</v>
      </c>
      <c r="H64">
        <v>62.0903</v>
      </c>
      <c r="I64">
        <v>-1</v>
      </c>
      <c r="J64">
        <v>-1</v>
      </c>
      <c r="K64">
        <v>0</v>
      </c>
      <c r="L64">
        <v>0</v>
      </c>
      <c r="M64">
        <v>-1</v>
      </c>
      <c r="N64">
        <v>179</v>
      </c>
      <c r="O64">
        <v>1.20032</v>
      </c>
      <c r="P64">
        <v>179</v>
      </c>
      <c r="Q64">
        <v>600</v>
      </c>
      <c r="R64" s="1">
        <v>600</v>
      </c>
      <c r="T64">
        <f t="shared" si="0"/>
        <v>0</v>
      </c>
      <c r="U64" s="1">
        <f t="shared" si="1"/>
        <v>0</v>
      </c>
    </row>
    <row r="65" spans="1:21">
      <c r="A65" t="s">
        <v>143</v>
      </c>
      <c r="B65">
        <v>56739</v>
      </c>
      <c r="C65">
        <v>212945</v>
      </c>
      <c r="D65">
        <v>8461</v>
      </c>
      <c r="E65">
        <v>106306</v>
      </c>
      <c r="F65">
        <v>0.039642</v>
      </c>
      <c r="G65">
        <v>40878</v>
      </c>
      <c r="H65">
        <v>0.305375</v>
      </c>
      <c r="I65">
        <v>40693</v>
      </c>
      <c r="J65">
        <v>0.626336</v>
      </c>
      <c r="K65">
        <v>637</v>
      </c>
      <c r="L65">
        <v>0</v>
      </c>
      <c r="M65">
        <v>-1</v>
      </c>
      <c r="N65">
        <v>8</v>
      </c>
      <c r="O65">
        <v>0.059612</v>
      </c>
      <c r="P65">
        <v>8</v>
      </c>
      <c r="Q65">
        <v>600</v>
      </c>
      <c r="R65" s="1">
        <v>600</v>
      </c>
      <c r="T65">
        <f t="shared" si="0"/>
        <v>0</v>
      </c>
      <c r="U65" s="1">
        <f t="shared" si="1"/>
        <v>0</v>
      </c>
    </row>
    <row r="66" spans="1:21">
      <c r="A66" t="s">
        <v>144</v>
      </c>
      <c r="B66">
        <v>62</v>
      </c>
      <c r="C66">
        <v>159</v>
      </c>
      <c r="D66">
        <v>31</v>
      </c>
      <c r="E66">
        <v>90</v>
      </c>
      <c r="F66" s="3" t="s">
        <v>199</v>
      </c>
      <c r="G66">
        <v>0</v>
      </c>
      <c r="H66" s="3" t="s">
        <v>200</v>
      </c>
      <c r="I66">
        <v>0</v>
      </c>
      <c r="J66">
        <v>0</v>
      </c>
      <c r="K66">
        <v>0</v>
      </c>
      <c r="L66">
        <v>0</v>
      </c>
      <c r="M66">
        <v>0.008148</v>
      </c>
      <c r="N66">
        <v>5</v>
      </c>
      <c r="O66" s="3" t="s">
        <v>103</v>
      </c>
      <c r="P66">
        <v>5</v>
      </c>
      <c r="Q66">
        <v>0.015819</v>
      </c>
      <c r="R66" s="1">
        <v>0.010115</v>
      </c>
      <c r="T66">
        <f t="shared" ref="T66:T96" si="2">IF(Q66&lt;R66,1,0)</f>
        <v>0</v>
      </c>
      <c r="U66" s="1">
        <f t="shared" ref="U66:U96" si="3">IF(R66&lt;Q66,1,0)</f>
        <v>1</v>
      </c>
    </row>
    <row r="67" spans="1:21">
      <c r="A67" t="s">
        <v>145</v>
      </c>
      <c r="B67">
        <v>154908</v>
      </c>
      <c r="C67">
        <v>327162</v>
      </c>
      <c r="D67">
        <v>29489</v>
      </c>
      <c r="E67">
        <v>179659</v>
      </c>
      <c r="F67">
        <v>0.041696</v>
      </c>
      <c r="G67">
        <v>23461</v>
      </c>
      <c r="H67">
        <v>0.15087</v>
      </c>
      <c r="I67">
        <v>23106</v>
      </c>
      <c r="J67">
        <v>0.128103</v>
      </c>
      <c r="K67">
        <v>1250</v>
      </c>
      <c r="L67">
        <v>331</v>
      </c>
      <c r="M67">
        <v>376.488</v>
      </c>
      <c r="N67">
        <v>3</v>
      </c>
      <c r="O67">
        <v>0.031635</v>
      </c>
      <c r="P67">
        <v>4</v>
      </c>
      <c r="Q67">
        <v>377.303</v>
      </c>
      <c r="R67" s="1">
        <v>268.421</v>
      </c>
      <c r="T67">
        <f t="shared" si="2"/>
        <v>0</v>
      </c>
      <c r="U67" s="1">
        <f t="shared" si="3"/>
        <v>1</v>
      </c>
    </row>
    <row r="68" spans="1:21">
      <c r="A68" t="s">
        <v>146</v>
      </c>
      <c r="B68">
        <v>26588</v>
      </c>
      <c r="C68">
        <v>100120</v>
      </c>
      <c r="D68">
        <v>5212</v>
      </c>
      <c r="E68">
        <v>64043</v>
      </c>
      <c r="F68">
        <v>0.021003</v>
      </c>
      <c r="G68">
        <v>25100</v>
      </c>
      <c r="H68">
        <v>0.214085</v>
      </c>
      <c r="I68">
        <v>24822</v>
      </c>
      <c r="J68">
        <v>0.991731</v>
      </c>
      <c r="K68">
        <v>556</v>
      </c>
      <c r="L68">
        <v>0</v>
      </c>
      <c r="M68">
        <v>-1</v>
      </c>
      <c r="N68">
        <v>6</v>
      </c>
      <c r="O68">
        <v>0.024007</v>
      </c>
      <c r="P68">
        <v>6</v>
      </c>
      <c r="Q68">
        <v>600</v>
      </c>
      <c r="R68" s="1">
        <v>600</v>
      </c>
      <c r="T68">
        <f t="shared" si="2"/>
        <v>0</v>
      </c>
      <c r="U68" s="1">
        <f t="shared" si="3"/>
        <v>0</v>
      </c>
    </row>
    <row r="69" spans="1:21">
      <c r="A69" t="s">
        <v>147</v>
      </c>
      <c r="B69">
        <v>22900</v>
      </c>
      <c r="C69">
        <v>852419</v>
      </c>
      <c r="D69">
        <v>18887</v>
      </c>
      <c r="E69">
        <v>829031</v>
      </c>
      <c r="F69">
        <v>0.221092</v>
      </c>
      <c r="G69">
        <v>383637</v>
      </c>
      <c r="H69">
        <v>7.72084</v>
      </c>
      <c r="I69">
        <v>383329</v>
      </c>
      <c r="J69">
        <v>0.710964</v>
      </c>
      <c r="K69">
        <v>433</v>
      </c>
      <c r="L69">
        <v>0</v>
      </c>
      <c r="M69">
        <v>-1</v>
      </c>
      <c r="N69">
        <v>14</v>
      </c>
      <c r="O69">
        <v>0.239403</v>
      </c>
      <c r="P69">
        <v>14</v>
      </c>
      <c r="Q69">
        <v>600</v>
      </c>
      <c r="R69" s="1">
        <v>600</v>
      </c>
      <c r="T69">
        <f t="shared" si="2"/>
        <v>0</v>
      </c>
      <c r="U69" s="1">
        <f t="shared" si="3"/>
        <v>0</v>
      </c>
    </row>
    <row r="70" spans="1:21">
      <c r="A70" t="s">
        <v>148</v>
      </c>
      <c r="B70">
        <v>6621</v>
      </c>
      <c r="C70">
        <v>249959</v>
      </c>
      <c r="D70">
        <v>5334</v>
      </c>
      <c r="E70">
        <v>241890</v>
      </c>
      <c r="F70">
        <v>0.039471</v>
      </c>
      <c r="G70">
        <v>148690</v>
      </c>
      <c r="H70">
        <v>1.56846</v>
      </c>
      <c r="I70">
        <v>148383</v>
      </c>
      <c r="J70">
        <v>0.530539</v>
      </c>
      <c r="K70">
        <v>374</v>
      </c>
      <c r="L70">
        <v>0</v>
      </c>
      <c r="M70">
        <v>-1</v>
      </c>
      <c r="N70">
        <v>15</v>
      </c>
      <c r="O70">
        <v>0.039454</v>
      </c>
      <c r="P70">
        <v>15</v>
      </c>
      <c r="Q70">
        <v>600</v>
      </c>
      <c r="R70" s="1">
        <v>600</v>
      </c>
      <c r="T70">
        <f t="shared" si="2"/>
        <v>0</v>
      </c>
      <c r="U70" s="1">
        <f t="shared" si="3"/>
        <v>0</v>
      </c>
    </row>
    <row r="71" spans="1:21">
      <c r="A71" t="s">
        <v>149</v>
      </c>
      <c r="B71">
        <v>9885</v>
      </c>
      <c r="C71">
        <v>506437</v>
      </c>
      <c r="D71">
        <v>8502</v>
      </c>
      <c r="E71">
        <v>499525</v>
      </c>
      <c r="F71">
        <v>0.095147</v>
      </c>
      <c r="G71">
        <v>367862</v>
      </c>
      <c r="H71">
        <v>4.30874</v>
      </c>
      <c r="I71">
        <v>367564</v>
      </c>
      <c r="J71">
        <v>0.487346</v>
      </c>
      <c r="K71">
        <v>389</v>
      </c>
      <c r="L71">
        <v>0</v>
      </c>
      <c r="M71">
        <v>-1</v>
      </c>
      <c r="N71">
        <v>13</v>
      </c>
      <c r="O71">
        <v>0.102505</v>
      </c>
      <c r="P71">
        <v>13</v>
      </c>
      <c r="Q71">
        <v>600</v>
      </c>
      <c r="R71" s="1">
        <v>600</v>
      </c>
      <c r="T71">
        <f t="shared" si="2"/>
        <v>0</v>
      </c>
      <c r="U71" s="1">
        <f t="shared" si="3"/>
        <v>0</v>
      </c>
    </row>
    <row r="72" spans="1:21">
      <c r="A72" t="s">
        <v>150</v>
      </c>
      <c r="B72">
        <v>6402</v>
      </c>
      <c r="C72">
        <v>251230</v>
      </c>
      <c r="D72">
        <v>5016</v>
      </c>
      <c r="E72">
        <v>243505</v>
      </c>
      <c r="F72">
        <v>0.045619</v>
      </c>
      <c r="G72">
        <v>155781</v>
      </c>
      <c r="H72">
        <v>1.77588</v>
      </c>
      <c r="I72">
        <v>155469</v>
      </c>
      <c r="J72">
        <v>0.500266</v>
      </c>
      <c r="K72">
        <v>351</v>
      </c>
      <c r="L72">
        <v>0</v>
      </c>
      <c r="M72">
        <v>-1</v>
      </c>
      <c r="N72">
        <v>15</v>
      </c>
      <c r="O72">
        <v>0.045388</v>
      </c>
      <c r="P72">
        <v>15</v>
      </c>
      <c r="Q72">
        <v>600</v>
      </c>
      <c r="R72" s="1">
        <v>600</v>
      </c>
      <c r="T72">
        <f t="shared" si="2"/>
        <v>0</v>
      </c>
      <c r="U72" s="1">
        <f t="shared" si="3"/>
        <v>0</v>
      </c>
    </row>
    <row r="73" spans="1:21">
      <c r="A73" t="s">
        <v>151</v>
      </c>
      <c r="B73">
        <v>63392</v>
      </c>
      <c r="C73">
        <v>816886</v>
      </c>
      <c r="D73">
        <v>29975</v>
      </c>
      <c r="E73">
        <v>696932</v>
      </c>
      <c r="F73">
        <v>0.135432</v>
      </c>
      <c r="G73">
        <v>334130</v>
      </c>
      <c r="H73">
        <v>2.38059</v>
      </c>
      <c r="I73">
        <v>333837</v>
      </c>
      <c r="J73">
        <v>0.278921</v>
      </c>
      <c r="K73">
        <v>421</v>
      </c>
      <c r="L73">
        <v>0</v>
      </c>
      <c r="M73">
        <v>-1</v>
      </c>
      <c r="N73">
        <v>10</v>
      </c>
      <c r="O73">
        <v>0.125604</v>
      </c>
      <c r="P73">
        <v>10</v>
      </c>
      <c r="Q73">
        <v>600</v>
      </c>
      <c r="R73" s="1">
        <v>600</v>
      </c>
      <c r="T73">
        <f t="shared" si="2"/>
        <v>0</v>
      </c>
      <c r="U73" s="1">
        <f t="shared" si="3"/>
        <v>0</v>
      </c>
    </row>
    <row r="74" spans="1:21">
      <c r="A74" t="s">
        <v>152</v>
      </c>
      <c r="B74">
        <v>11586</v>
      </c>
      <c r="C74">
        <v>568309</v>
      </c>
      <c r="D74">
        <v>8834</v>
      </c>
      <c r="E74">
        <v>552370</v>
      </c>
      <c r="F74">
        <v>0.10115</v>
      </c>
      <c r="G74">
        <v>377575</v>
      </c>
      <c r="H74">
        <v>5.05377</v>
      </c>
      <c r="I74">
        <v>377250</v>
      </c>
      <c r="J74">
        <v>0.575448</v>
      </c>
      <c r="K74">
        <v>393</v>
      </c>
      <c r="L74">
        <v>0</v>
      </c>
      <c r="M74">
        <v>-1</v>
      </c>
      <c r="N74">
        <v>15</v>
      </c>
      <c r="O74">
        <v>0.118863</v>
      </c>
      <c r="P74">
        <v>15</v>
      </c>
      <c r="Q74">
        <v>600</v>
      </c>
      <c r="R74" s="1">
        <v>600</v>
      </c>
      <c r="T74">
        <f t="shared" si="2"/>
        <v>0</v>
      </c>
      <c r="U74" s="1">
        <f t="shared" si="3"/>
        <v>0</v>
      </c>
    </row>
    <row r="75" spans="1:21">
      <c r="A75" t="s">
        <v>153</v>
      </c>
      <c r="B75">
        <v>20453</v>
      </c>
      <c r="C75">
        <v>747604</v>
      </c>
      <c r="D75">
        <v>15550</v>
      </c>
      <c r="E75">
        <v>713798</v>
      </c>
      <c r="F75">
        <v>0.123818</v>
      </c>
      <c r="G75">
        <v>319513</v>
      </c>
      <c r="H75">
        <v>4.63821</v>
      </c>
      <c r="I75">
        <v>319198</v>
      </c>
      <c r="J75">
        <v>0.60378</v>
      </c>
      <c r="K75">
        <v>428</v>
      </c>
      <c r="L75">
        <v>0</v>
      </c>
      <c r="M75">
        <v>-1</v>
      </c>
      <c r="N75">
        <v>16</v>
      </c>
      <c r="O75">
        <v>0.133351</v>
      </c>
      <c r="P75">
        <v>16</v>
      </c>
      <c r="Q75">
        <v>600</v>
      </c>
      <c r="R75" s="1">
        <v>600</v>
      </c>
      <c r="T75">
        <f t="shared" si="2"/>
        <v>0</v>
      </c>
      <c r="U75" s="1">
        <f t="shared" si="3"/>
        <v>0</v>
      </c>
    </row>
    <row r="76" spans="1:21">
      <c r="A76" t="s">
        <v>154</v>
      </c>
      <c r="B76">
        <v>17206</v>
      </c>
      <c r="C76">
        <v>604867</v>
      </c>
      <c r="D76">
        <v>14706</v>
      </c>
      <c r="E76">
        <v>589090</v>
      </c>
      <c r="F76">
        <v>0.161289</v>
      </c>
      <c r="G76">
        <v>225375</v>
      </c>
      <c r="H76">
        <v>3.55882</v>
      </c>
      <c r="I76">
        <v>225021</v>
      </c>
      <c r="J76">
        <v>0.466761</v>
      </c>
      <c r="K76">
        <v>386</v>
      </c>
      <c r="L76">
        <v>0</v>
      </c>
      <c r="M76">
        <v>-1</v>
      </c>
      <c r="N76">
        <v>14</v>
      </c>
      <c r="O76">
        <v>0.152863</v>
      </c>
      <c r="P76">
        <v>14</v>
      </c>
      <c r="Q76">
        <v>600</v>
      </c>
      <c r="R76" s="1">
        <v>600</v>
      </c>
      <c r="T76">
        <f t="shared" si="2"/>
        <v>0</v>
      </c>
      <c r="U76" s="1">
        <f t="shared" si="3"/>
        <v>0</v>
      </c>
    </row>
    <row r="77" spans="1:21">
      <c r="A77" t="s">
        <v>155</v>
      </c>
      <c r="B77">
        <v>14917</v>
      </c>
      <c r="C77">
        <v>482215</v>
      </c>
      <c r="D77">
        <v>11633</v>
      </c>
      <c r="E77">
        <v>458848</v>
      </c>
      <c r="F77">
        <v>0.084514</v>
      </c>
      <c r="G77">
        <v>181206</v>
      </c>
      <c r="H77">
        <v>2.59659</v>
      </c>
      <c r="I77">
        <v>180844</v>
      </c>
      <c r="J77">
        <v>0.708263</v>
      </c>
      <c r="K77">
        <v>363</v>
      </c>
      <c r="L77">
        <v>0</v>
      </c>
      <c r="M77">
        <v>-1</v>
      </c>
      <c r="N77">
        <v>16</v>
      </c>
      <c r="O77">
        <v>0.07879</v>
      </c>
      <c r="P77">
        <v>16</v>
      </c>
      <c r="Q77">
        <v>600</v>
      </c>
      <c r="R77" s="1">
        <v>600</v>
      </c>
      <c r="T77">
        <f t="shared" si="2"/>
        <v>0</v>
      </c>
      <c r="U77" s="1">
        <f t="shared" si="3"/>
        <v>0</v>
      </c>
    </row>
    <row r="78" spans="1:21">
      <c r="A78" t="s">
        <v>156</v>
      </c>
      <c r="B78">
        <v>23831</v>
      </c>
      <c r="C78">
        <v>835946</v>
      </c>
      <c r="D78">
        <v>20450</v>
      </c>
      <c r="E78">
        <v>816171</v>
      </c>
      <c r="F78">
        <v>0.146942</v>
      </c>
      <c r="G78">
        <v>374099</v>
      </c>
      <c r="H78">
        <v>4.78081</v>
      </c>
      <c r="I78">
        <v>373770</v>
      </c>
      <c r="J78">
        <v>0.430737</v>
      </c>
      <c r="K78">
        <v>395</v>
      </c>
      <c r="L78">
        <v>0</v>
      </c>
      <c r="M78">
        <v>-1</v>
      </c>
      <c r="N78">
        <v>13</v>
      </c>
      <c r="O78">
        <v>0.147809</v>
      </c>
      <c r="P78">
        <v>13</v>
      </c>
      <c r="Q78">
        <v>600</v>
      </c>
      <c r="R78" s="1">
        <v>600</v>
      </c>
      <c r="T78">
        <f t="shared" si="2"/>
        <v>0</v>
      </c>
      <c r="U78" s="1">
        <f t="shared" si="3"/>
        <v>0</v>
      </c>
    </row>
    <row r="79" spans="1:21">
      <c r="A79" t="s">
        <v>157</v>
      </c>
      <c r="B79">
        <v>196591</v>
      </c>
      <c r="C79">
        <v>950327</v>
      </c>
      <c r="D79">
        <v>46100</v>
      </c>
      <c r="E79">
        <v>600305</v>
      </c>
      <c r="F79">
        <v>0.213859</v>
      </c>
      <c r="G79">
        <v>281479</v>
      </c>
      <c r="H79">
        <v>2.45587</v>
      </c>
      <c r="I79">
        <v>281247</v>
      </c>
      <c r="J79">
        <v>0.333685</v>
      </c>
      <c r="K79">
        <v>472</v>
      </c>
      <c r="L79">
        <v>0</v>
      </c>
      <c r="M79">
        <v>-1</v>
      </c>
      <c r="N79">
        <v>7</v>
      </c>
      <c r="O79">
        <v>0.240898</v>
      </c>
      <c r="P79">
        <v>7</v>
      </c>
      <c r="Q79">
        <v>600</v>
      </c>
      <c r="R79" s="1">
        <v>600</v>
      </c>
      <c r="T79">
        <f t="shared" si="2"/>
        <v>0</v>
      </c>
      <c r="U79" s="1">
        <f t="shared" si="3"/>
        <v>0</v>
      </c>
    </row>
    <row r="80" spans="1:21">
      <c r="A80" t="s">
        <v>158</v>
      </c>
      <c r="B80">
        <v>34</v>
      </c>
      <c r="C80">
        <v>78</v>
      </c>
      <c r="D80">
        <v>13</v>
      </c>
      <c r="E80">
        <v>33</v>
      </c>
      <c r="F80" s="3" t="s">
        <v>56</v>
      </c>
      <c r="G80">
        <v>14</v>
      </c>
      <c r="H80" s="3" t="s">
        <v>84</v>
      </c>
      <c r="I80">
        <v>14</v>
      </c>
      <c r="J80">
        <v>0.001991</v>
      </c>
      <c r="K80">
        <v>7</v>
      </c>
      <c r="L80">
        <v>0</v>
      </c>
      <c r="M80">
        <v>0.003841</v>
      </c>
      <c r="N80">
        <v>4</v>
      </c>
      <c r="O80" s="3" t="s">
        <v>121</v>
      </c>
      <c r="P80">
        <v>4</v>
      </c>
      <c r="Q80">
        <v>0.016471</v>
      </c>
      <c r="R80" s="1">
        <v>0.018054</v>
      </c>
      <c r="T80">
        <f t="shared" si="2"/>
        <v>1</v>
      </c>
      <c r="U80" s="1">
        <f t="shared" si="3"/>
        <v>0</v>
      </c>
    </row>
    <row r="81" spans="1:21">
      <c r="A81" t="s">
        <v>160</v>
      </c>
      <c r="B81">
        <v>70068</v>
      </c>
      <c r="C81">
        <v>358647</v>
      </c>
      <c r="D81">
        <v>25016</v>
      </c>
      <c r="E81">
        <v>292909</v>
      </c>
      <c r="F81">
        <v>0.056783</v>
      </c>
      <c r="G81">
        <v>71830</v>
      </c>
      <c r="H81">
        <v>0.621321</v>
      </c>
      <c r="I81">
        <v>71513</v>
      </c>
      <c r="J81">
        <v>0.215405</v>
      </c>
      <c r="K81">
        <v>417</v>
      </c>
      <c r="L81">
        <v>0</v>
      </c>
      <c r="M81">
        <v>-1</v>
      </c>
      <c r="N81">
        <v>4</v>
      </c>
      <c r="O81">
        <v>0.051167</v>
      </c>
      <c r="P81">
        <v>4</v>
      </c>
      <c r="Q81">
        <v>600</v>
      </c>
      <c r="R81" s="1">
        <v>600</v>
      </c>
      <c r="T81">
        <f t="shared" si="2"/>
        <v>0</v>
      </c>
      <c r="U81" s="1">
        <f t="shared" si="3"/>
        <v>0</v>
      </c>
    </row>
    <row r="82" spans="1:21">
      <c r="A82" t="s">
        <v>161</v>
      </c>
      <c r="B82">
        <v>404719</v>
      </c>
      <c r="C82">
        <v>713319</v>
      </c>
      <c r="D82">
        <v>96749</v>
      </c>
      <c r="E82">
        <v>405349</v>
      </c>
      <c r="F82">
        <v>0.137807</v>
      </c>
      <c r="G82">
        <v>49436</v>
      </c>
      <c r="H82">
        <v>0.749572</v>
      </c>
      <c r="I82">
        <v>48877</v>
      </c>
      <c r="J82">
        <v>0.185191</v>
      </c>
      <c r="K82">
        <v>320</v>
      </c>
      <c r="L82">
        <v>0</v>
      </c>
      <c r="M82">
        <v>-1</v>
      </c>
      <c r="N82">
        <v>2</v>
      </c>
      <c r="O82">
        <v>0.101966</v>
      </c>
      <c r="P82">
        <v>2</v>
      </c>
      <c r="Q82">
        <v>600</v>
      </c>
      <c r="R82" s="1">
        <v>600</v>
      </c>
      <c r="T82">
        <f t="shared" si="2"/>
        <v>0</v>
      </c>
      <c r="U82" s="1">
        <f t="shared" si="3"/>
        <v>0</v>
      </c>
    </row>
    <row r="83" spans="1:21">
      <c r="A83" t="s">
        <v>162</v>
      </c>
      <c r="B83">
        <v>889</v>
      </c>
      <c r="C83">
        <v>2914</v>
      </c>
      <c r="D83">
        <v>326</v>
      </c>
      <c r="E83">
        <v>1765</v>
      </c>
      <c r="F83">
        <v>0.000305</v>
      </c>
      <c r="G83">
        <v>396</v>
      </c>
      <c r="H83">
        <v>0.001228</v>
      </c>
      <c r="I83">
        <v>101</v>
      </c>
      <c r="J83">
        <v>0.044289</v>
      </c>
      <c r="K83">
        <v>208</v>
      </c>
      <c r="L83">
        <v>0</v>
      </c>
      <c r="M83">
        <v>0.010046</v>
      </c>
      <c r="N83">
        <v>5</v>
      </c>
      <c r="O83">
        <v>0.000193</v>
      </c>
      <c r="P83">
        <v>6</v>
      </c>
      <c r="Q83">
        <v>0.062967</v>
      </c>
      <c r="R83" s="1">
        <v>0.041417</v>
      </c>
      <c r="T83">
        <f t="shared" si="2"/>
        <v>0</v>
      </c>
      <c r="U83" s="1">
        <f t="shared" si="3"/>
        <v>1</v>
      </c>
    </row>
    <row r="84" spans="1:21">
      <c r="A84" t="s">
        <v>163</v>
      </c>
      <c r="B84">
        <v>26475</v>
      </c>
      <c r="C84">
        <v>53381</v>
      </c>
      <c r="D84">
        <v>2578</v>
      </c>
      <c r="E84">
        <v>14068</v>
      </c>
      <c r="F84">
        <v>0.004822</v>
      </c>
      <c r="G84">
        <v>7621</v>
      </c>
      <c r="H84">
        <v>0.028945</v>
      </c>
      <c r="I84">
        <v>7530</v>
      </c>
      <c r="J84">
        <v>0.209623</v>
      </c>
      <c r="K84">
        <v>1192</v>
      </c>
      <c r="L84">
        <v>0</v>
      </c>
      <c r="M84">
        <v>-1</v>
      </c>
      <c r="N84">
        <v>4</v>
      </c>
      <c r="O84">
        <v>0.005239</v>
      </c>
      <c r="P84">
        <v>4</v>
      </c>
      <c r="Q84">
        <v>600</v>
      </c>
      <c r="R84" s="1">
        <v>600</v>
      </c>
      <c r="T84">
        <f t="shared" si="2"/>
        <v>0</v>
      </c>
      <c r="U84" s="1">
        <f t="shared" si="3"/>
        <v>0</v>
      </c>
    </row>
    <row r="85" spans="1:21">
      <c r="A85" t="s">
        <v>164</v>
      </c>
      <c r="B85">
        <v>40164</v>
      </c>
      <c r="C85">
        <v>85123</v>
      </c>
      <c r="D85">
        <v>4721</v>
      </c>
      <c r="E85">
        <v>26671</v>
      </c>
      <c r="F85">
        <v>0.010286</v>
      </c>
      <c r="G85">
        <v>14594</v>
      </c>
      <c r="H85">
        <v>0.090327</v>
      </c>
      <c r="I85">
        <v>14498</v>
      </c>
      <c r="J85">
        <v>0.24691</v>
      </c>
      <c r="K85">
        <v>1005</v>
      </c>
      <c r="L85">
        <v>0</v>
      </c>
      <c r="M85">
        <v>-1</v>
      </c>
      <c r="N85">
        <v>4</v>
      </c>
      <c r="O85">
        <v>0.01089</v>
      </c>
      <c r="P85">
        <v>4</v>
      </c>
      <c r="Q85">
        <v>600</v>
      </c>
      <c r="R85" s="1">
        <v>600</v>
      </c>
      <c r="T85">
        <f t="shared" si="2"/>
        <v>0</v>
      </c>
      <c r="U85" s="1">
        <f t="shared" si="3"/>
        <v>0</v>
      </c>
    </row>
    <row r="86" spans="1:21">
      <c r="A86" t="s">
        <v>165</v>
      </c>
      <c r="B86">
        <v>62561</v>
      </c>
      <c r="C86">
        <v>147878</v>
      </c>
      <c r="D86">
        <v>24443</v>
      </c>
      <c r="E86">
        <v>100454</v>
      </c>
      <c r="F86">
        <v>0.029721</v>
      </c>
      <c r="G86">
        <v>379</v>
      </c>
      <c r="H86">
        <v>0.047155</v>
      </c>
      <c r="I86">
        <v>90</v>
      </c>
      <c r="J86">
        <v>0.135889</v>
      </c>
      <c r="K86">
        <v>0</v>
      </c>
      <c r="L86">
        <v>0</v>
      </c>
      <c r="M86" s="3" t="s">
        <v>26</v>
      </c>
      <c r="N86">
        <v>3</v>
      </c>
      <c r="O86">
        <v>0.021693</v>
      </c>
      <c r="P86">
        <v>3</v>
      </c>
      <c r="Q86">
        <v>0.378324</v>
      </c>
      <c r="R86" s="1">
        <v>0.152724</v>
      </c>
      <c r="T86">
        <f t="shared" si="2"/>
        <v>0</v>
      </c>
      <c r="U86" s="1">
        <f t="shared" si="3"/>
        <v>1</v>
      </c>
    </row>
    <row r="87" spans="1:21">
      <c r="A87" t="s">
        <v>166</v>
      </c>
      <c r="B87">
        <v>190914</v>
      </c>
      <c r="C87">
        <v>607610</v>
      </c>
      <c r="D87">
        <v>47992</v>
      </c>
      <c r="E87">
        <v>336097</v>
      </c>
      <c r="F87">
        <v>0.106599</v>
      </c>
      <c r="G87">
        <v>69189</v>
      </c>
      <c r="H87">
        <v>0.440264</v>
      </c>
      <c r="I87">
        <v>68877</v>
      </c>
      <c r="J87">
        <v>0.180503</v>
      </c>
      <c r="K87">
        <v>419</v>
      </c>
      <c r="L87">
        <v>0</v>
      </c>
      <c r="M87">
        <v>-1</v>
      </c>
      <c r="N87">
        <v>5</v>
      </c>
      <c r="O87">
        <v>0.098966</v>
      </c>
      <c r="P87">
        <v>5</v>
      </c>
      <c r="Q87">
        <v>600</v>
      </c>
      <c r="R87" s="1">
        <v>600</v>
      </c>
      <c r="T87">
        <f t="shared" si="2"/>
        <v>0</v>
      </c>
      <c r="U87" s="1">
        <f t="shared" si="3"/>
        <v>0</v>
      </c>
    </row>
    <row r="88" spans="1:21">
      <c r="A88" t="s">
        <v>167</v>
      </c>
      <c r="B88">
        <v>2113</v>
      </c>
      <c r="C88">
        <v>6632</v>
      </c>
      <c r="D88">
        <v>114</v>
      </c>
      <c r="E88">
        <v>1167</v>
      </c>
      <c r="F88">
        <v>0.000288</v>
      </c>
      <c r="G88">
        <v>680</v>
      </c>
      <c r="H88">
        <v>0.001549</v>
      </c>
      <c r="I88">
        <v>680</v>
      </c>
      <c r="J88">
        <v>0.124757</v>
      </c>
      <c r="K88">
        <v>536</v>
      </c>
      <c r="L88">
        <v>6</v>
      </c>
      <c r="M88">
        <v>0.050029</v>
      </c>
      <c r="N88">
        <v>12</v>
      </c>
      <c r="O88">
        <v>0.000544</v>
      </c>
      <c r="P88">
        <v>12</v>
      </c>
      <c r="Q88">
        <v>0.188984</v>
      </c>
      <c r="R88" s="1">
        <v>0.16028</v>
      </c>
      <c r="T88">
        <f t="shared" si="2"/>
        <v>0</v>
      </c>
      <c r="U88" s="1">
        <f t="shared" si="3"/>
        <v>1</v>
      </c>
    </row>
    <row r="89" spans="1:21">
      <c r="A89" t="s">
        <v>168</v>
      </c>
      <c r="B89">
        <v>7476</v>
      </c>
      <c r="C89">
        <v>56943</v>
      </c>
      <c r="D89">
        <v>896</v>
      </c>
      <c r="E89">
        <v>34917</v>
      </c>
      <c r="F89">
        <v>0.008436</v>
      </c>
      <c r="G89">
        <v>29999</v>
      </c>
      <c r="H89">
        <v>0.440736</v>
      </c>
      <c r="I89">
        <v>29937</v>
      </c>
      <c r="J89">
        <v>4.70962</v>
      </c>
      <c r="K89">
        <v>704</v>
      </c>
      <c r="L89">
        <v>0</v>
      </c>
      <c r="M89">
        <v>-1</v>
      </c>
      <c r="N89">
        <v>19</v>
      </c>
      <c r="O89">
        <v>0.00926</v>
      </c>
      <c r="P89">
        <v>19</v>
      </c>
      <c r="Q89">
        <v>600</v>
      </c>
      <c r="R89" s="1">
        <v>600</v>
      </c>
      <c r="T89">
        <f t="shared" si="2"/>
        <v>0</v>
      </c>
      <c r="U89" s="1">
        <f t="shared" si="3"/>
        <v>0</v>
      </c>
    </row>
    <row r="90" spans="1:21">
      <c r="A90" t="s">
        <v>169</v>
      </c>
      <c r="B90">
        <v>3031</v>
      </c>
      <c r="C90">
        <v>6474</v>
      </c>
      <c r="D90">
        <v>30</v>
      </c>
      <c r="E90">
        <v>435</v>
      </c>
      <c r="F90">
        <v>0.000155</v>
      </c>
      <c r="G90">
        <v>435</v>
      </c>
      <c r="H90">
        <v>0.001402</v>
      </c>
      <c r="I90">
        <v>435</v>
      </c>
      <c r="J90" s="3" t="s">
        <v>46</v>
      </c>
      <c r="K90">
        <v>76</v>
      </c>
      <c r="L90">
        <v>31</v>
      </c>
      <c r="M90">
        <v>0.136525</v>
      </c>
      <c r="N90">
        <v>22</v>
      </c>
      <c r="O90">
        <v>0.000525</v>
      </c>
      <c r="P90">
        <v>23</v>
      </c>
      <c r="Q90">
        <v>0.160643</v>
      </c>
      <c r="R90" s="1">
        <v>600</v>
      </c>
      <c r="T90">
        <f t="shared" si="2"/>
        <v>1</v>
      </c>
      <c r="U90" s="1">
        <f t="shared" si="3"/>
        <v>0</v>
      </c>
    </row>
    <row r="91" spans="1:21">
      <c r="A91" t="s">
        <v>170</v>
      </c>
      <c r="B91">
        <v>1299</v>
      </c>
      <c r="C91">
        <v>2773</v>
      </c>
      <c r="D91">
        <v>21</v>
      </c>
      <c r="E91">
        <v>174</v>
      </c>
      <c r="F91" s="3" t="s">
        <v>201</v>
      </c>
      <c r="G91">
        <v>170</v>
      </c>
      <c r="H91">
        <v>0.000307</v>
      </c>
      <c r="I91">
        <v>170</v>
      </c>
      <c r="J91">
        <v>0.00843</v>
      </c>
      <c r="K91">
        <v>163</v>
      </c>
      <c r="L91">
        <v>0</v>
      </c>
      <c r="M91">
        <v>0.014253</v>
      </c>
      <c r="N91">
        <v>16</v>
      </c>
      <c r="O91">
        <v>0.000277</v>
      </c>
      <c r="P91">
        <v>16</v>
      </c>
      <c r="Q91">
        <v>0.035515</v>
      </c>
      <c r="R91" s="1">
        <v>0.018598</v>
      </c>
      <c r="T91">
        <f t="shared" si="2"/>
        <v>0</v>
      </c>
      <c r="U91" s="1">
        <f t="shared" si="3"/>
        <v>1</v>
      </c>
    </row>
    <row r="92" spans="1:21">
      <c r="A92" t="s">
        <v>172</v>
      </c>
      <c r="B92">
        <v>11358</v>
      </c>
      <c r="C92">
        <v>47606</v>
      </c>
      <c r="D92">
        <v>308</v>
      </c>
      <c r="E92">
        <v>5859</v>
      </c>
      <c r="F92">
        <v>0.001804</v>
      </c>
      <c r="G92">
        <v>5835</v>
      </c>
      <c r="H92">
        <v>0.020401</v>
      </c>
      <c r="I92">
        <v>5835</v>
      </c>
      <c r="J92">
        <v>0.878392</v>
      </c>
      <c r="K92">
        <v>1502</v>
      </c>
      <c r="L92">
        <v>123</v>
      </c>
      <c r="M92">
        <v>15.184</v>
      </c>
      <c r="N92">
        <v>32</v>
      </c>
      <c r="O92">
        <v>0.002501</v>
      </c>
      <c r="P92">
        <v>33</v>
      </c>
      <c r="Q92">
        <v>16.5038</v>
      </c>
      <c r="R92" s="1">
        <v>15.2952</v>
      </c>
      <c r="T92">
        <f t="shared" si="2"/>
        <v>0</v>
      </c>
      <c r="U92" s="1">
        <f t="shared" si="3"/>
        <v>1</v>
      </c>
    </row>
    <row r="93" spans="1:21">
      <c r="A93" t="s">
        <v>174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0.001064</v>
      </c>
      <c r="I93">
        <v>388</v>
      </c>
      <c r="J93">
        <v>0.065399</v>
      </c>
      <c r="K93">
        <v>376</v>
      </c>
      <c r="L93">
        <v>5</v>
      </c>
      <c r="M93">
        <v>0.034119</v>
      </c>
      <c r="N93">
        <v>6</v>
      </c>
      <c r="O93">
        <v>0.000141</v>
      </c>
      <c r="P93">
        <v>8</v>
      </c>
      <c r="Q93">
        <v>0.108356</v>
      </c>
      <c r="R93" s="1">
        <v>0.096504</v>
      </c>
      <c r="T93">
        <f t="shared" si="2"/>
        <v>0</v>
      </c>
      <c r="U93" s="1">
        <f t="shared" si="3"/>
        <v>1</v>
      </c>
    </row>
    <row r="94" spans="1:21">
      <c r="A94" t="s">
        <v>175</v>
      </c>
      <c r="B94">
        <v>121422</v>
      </c>
      <c r="C94">
        <v>334419</v>
      </c>
      <c r="D94">
        <v>631</v>
      </c>
      <c r="E94">
        <v>19076</v>
      </c>
      <c r="F94">
        <v>0.008723</v>
      </c>
      <c r="G94">
        <v>19071</v>
      </c>
      <c r="H94">
        <v>0.089059</v>
      </c>
      <c r="I94">
        <v>19071</v>
      </c>
      <c r="J94">
        <v>4.93849</v>
      </c>
      <c r="K94">
        <v>1340</v>
      </c>
      <c r="L94">
        <v>0</v>
      </c>
      <c r="M94">
        <v>-1</v>
      </c>
      <c r="N94">
        <v>31</v>
      </c>
      <c r="O94">
        <v>0.03519</v>
      </c>
      <c r="P94">
        <v>31</v>
      </c>
      <c r="Q94">
        <v>600</v>
      </c>
      <c r="R94" s="1">
        <v>600</v>
      </c>
      <c r="T94">
        <f t="shared" si="2"/>
        <v>0</v>
      </c>
      <c r="U94" s="1">
        <f t="shared" si="3"/>
        <v>0</v>
      </c>
    </row>
    <row r="95" spans="1:21">
      <c r="A95" t="s">
        <v>176</v>
      </c>
      <c r="B95">
        <v>4767</v>
      </c>
      <c r="C95">
        <v>37375</v>
      </c>
      <c r="D95">
        <v>1826</v>
      </c>
      <c r="E95">
        <v>28875</v>
      </c>
      <c r="F95">
        <v>0.004327</v>
      </c>
      <c r="G95">
        <v>12295</v>
      </c>
      <c r="H95">
        <v>0.084846</v>
      </c>
      <c r="I95">
        <v>11979</v>
      </c>
      <c r="J95">
        <v>0.35279</v>
      </c>
      <c r="K95">
        <v>982</v>
      </c>
      <c r="L95">
        <v>0</v>
      </c>
      <c r="M95">
        <v>-1</v>
      </c>
      <c r="N95">
        <v>9</v>
      </c>
      <c r="O95">
        <v>0.003094</v>
      </c>
      <c r="P95">
        <v>9</v>
      </c>
      <c r="Q95">
        <v>600</v>
      </c>
      <c r="R95" s="1">
        <v>600</v>
      </c>
      <c r="T95">
        <f t="shared" si="2"/>
        <v>0</v>
      </c>
      <c r="U95" s="1">
        <f t="shared" si="3"/>
        <v>0</v>
      </c>
    </row>
    <row r="96" spans="1:21">
      <c r="A96" t="s">
        <v>177</v>
      </c>
      <c r="B96">
        <v>16062</v>
      </c>
      <c r="C96">
        <v>25593</v>
      </c>
      <c r="D96">
        <v>62</v>
      </c>
      <c r="E96">
        <v>934</v>
      </c>
      <c r="F96">
        <v>0.000762</v>
      </c>
      <c r="G96">
        <v>934</v>
      </c>
      <c r="H96">
        <v>0.003325</v>
      </c>
      <c r="I96">
        <v>934</v>
      </c>
      <c r="J96">
        <v>0.157799</v>
      </c>
      <c r="K96">
        <v>472</v>
      </c>
      <c r="L96">
        <v>144</v>
      </c>
      <c r="M96">
        <v>2.37102</v>
      </c>
      <c r="N96">
        <v>18</v>
      </c>
      <c r="O96">
        <v>0.002827</v>
      </c>
      <c r="P96">
        <v>18</v>
      </c>
      <c r="Q96">
        <v>2.59425</v>
      </c>
      <c r="R96" s="1">
        <v>2.74529</v>
      </c>
      <c r="T96">
        <f t="shared" si="2"/>
        <v>1</v>
      </c>
      <c r="U96" s="1">
        <f t="shared" si="3"/>
        <v>0</v>
      </c>
    </row>
    <row r="97" spans="20:21">
      <c r="T97">
        <f>COUNTIF(T2:T96,"=1")</f>
        <v>9</v>
      </c>
      <c r="U97">
        <f>COUNTIF(U2:U96,"=1")</f>
        <v>53</v>
      </c>
    </row>
  </sheetData>
  <sortState ref="A2:Q96">
    <sortCondition ref="A2"/>
  </sortState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"/>
  <sheetViews>
    <sheetView topLeftCell="M70" workbookViewId="0">
      <selection activeCell="S98" sqref="S98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18" max="18" width="9.27272727272727" style="1" customWidth="1"/>
    <col min="20" max="21" width="9"/>
    <col min="23" max="23" width="4.27272727272727" style="1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T1" s="2"/>
      <c r="U1" s="2"/>
    </row>
    <row r="2" spans="1:21">
      <c r="A2" t="s">
        <v>47</v>
      </c>
      <c r="B2">
        <v>453</v>
      </c>
      <c r="C2">
        <v>2025</v>
      </c>
      <c r="D2">
        <v>181</v>
      </c>
      <c r="E2">
        <v>1122</v>
      </c>
      <c r="F2">
        <v>0.000251</v>
      </c>
      <c r="G2">
        <v>439</v>
      </c>
      <c r="H2">
        <v>0.001468</v>
      </c>
      <c r="I2">
        <v>324</v>
      </c>
      <c r="J2">
        <v>0.065344</v>
      </c>
      <c r="K2">
        <v>324</v>
      </c>
      <c r="L2">
        <v>2</v>
      </c>
      <c r="M2">
        <v>0.021323</v>
      </c>
      <c r="N2">
        <v>6</v>
      </c>
      <c r="O2">
        <v>0.000194</v>
      </c>
      <c r="P2">
        <v>7</v>
      </c>
      <c r="Q2">
        <v>0.115769</v>
      </c>
      <c r="R2" s="1">
        <v>0.078939</v>
      </c>
      <c r="T2">
        <f t="shared" ref="T2:T65" si="0">IF(Q2&lt;R2,1,0)</f>
        <v>0</v>
      </c>
      <c r="U2" s="1">
        <f t="shared" ref="U2:U65" si="1">IF(R2&lt;Q2,1,0)</f>
        <v>1</v>
      </c>
    </row>
    <row r="3" spans="1:21">
      <c r="A3" t="s">
        <v>48</v>
      </c>
      <c r="B3">
        <v>516</v>
      </c>
      <c r="C3">
        <v>1188</v>
      </c>
      <c r="D3">
        <v>11</v>
      </c>
      <c r="E3">
        <v>55</v>
      </c>
      <c r="F3" s="3" t="s">
        <v>202</v>
      </c>
      <c r="G3">
        <v>55</v>
      </c>
      <c r="H3" s="3" t="s">
        <v>203</v>
      </c>
      <c r="I3">
        <v>55</v>
      </c>
      <c r="J3" s="3" t="s">
        <v>57</v>
      </c>
      <c r="K3">
        <v>2</v>
      </c>
      <c r="L3">
        <v>0</v>
      </c>
      <c r="M3">
        <v>0.007256</v>
      </c>
      <c r="N3">
        <v>10</v>
      </c>
      <c r="O3" s="3" t="s">
        <v>23</v>
      </c>
      <c r="P3">
        <v>10</v>
      </c>
      <c r="Q3">
        <v>0.019461</v>
      </c>
      <c r="R3" s="1">
        <v>0.012832</v>
      </c>
      <c r="T3">
        <f t="shared" si="0"/>
        <v>0</v>
      </c>
      <c r="U3" s="1">
        <f t="shared" si="1"/>
        <v>1</v>
      </c>
    </row>
    <row r="4" spans="1:21">
      <c r="A4" t="s">
        <v>53</v>
      </c>
      <c r="B4">
        <v>7393</v>
      </c>
      <c r="C4">
        <v>25569</v>
      </c>
      <c r="D4">
        <v>3997</v>
      </c>
      <c r="E4">
        <v>20948</v>
      </c>
      <c r="F4">
        <v>0.005135</v>
      </c>
      <c r="G4">
        <v>1373</v>
      </c>
      <c r="H4">
        <v>0.017642</v>
      </c>
      <c r="I4">
        <v>1036</v>
      </c>
      <c r="J4">
        <v>0.124457</v>
      </c>
      <c r="K4">
        <v>556</v>
      </c>
      <c r="L4">
        <v>2</v>
      </c>
      <c r="M4">
        <v>0.07516</v>
      </c>
      <c r="N4">
        <v>3</v>
      </c>
      <c r="O4">
        <v>0.00312</v>
      </c>
      <c r="P4">
        <v>4</v>
      </c>
      <c r="Q4">
        <v>0.55221</v>
      </c>
      <c r="R4" s="1">
        <v>0.297612</v>
      </c>
      <c r="T4">
        <f t="shared" si="0"/>
        <v>0</v>
      </c>
      <c r="U4" s="1">
        <f t="shared" si="1"/>
        <v>1</v>
      </c>
    </row>
    <row r="5" spans="1:21">
      <c r="A5" t="s">
        <v>54</v>
      </c>
      <c r="B5">
        <v>1458</v>
      </c>
      <c r="C5">
        <v>1948</v>
      </c>
      <c r="D5">
        <v>83</v>
      </c>
      <c r="E5">
        <v>170</v>
      </c>
      <c r="F5" s="3" t="s">
        <v>87</v>
      </c>
      <c r="G5">
        <v>36</v>
      </c>
      <c r="H5" s="3" t="s">
        <v>204</v>
      </c>
      <c r="I5">
        <v>29</v>
      </c>
      <c r="J5">
        <v>0.008297</v>
      </c>
      <c r="K5">
        <v>33</v>
      </c>
      <c r="L5">
        <v>1</v>
      </c>
      <c r="M5">
        <v>0.010104</v>
      </c>
      <c r="N5">
        <v>4</v>
      </c>
      <c r="O5">
        <v>0.000138</v>
      </c>
      <c r="P5">
        <v>4</v>
      </c>
      <c r="Q5">
        <v>0.034303</v>
      </c>
      <c r="R5" s="1">
        <v>0.068727</v>
      </c>
      <c r="T5">
        <f t="shared" si="0"/>
        <v>1</v>
      </c>
      <c r="U5" s="1">
        <f t="shared" si="1"/>
        <v>0</v>
      </c>
    </row>
    <row r="6" spans="1:21">
      <c r="A6" t="s">
        <v>58</v>
      </c>
      <c r="B6">
        <v>17903</v>
      </c>
      <c r="C6">
        <v>196972</v>
      </c>
      <c r="D6">
        <v>2565</v>
      </c>
      <c r="E6">
        <v>72450</v>
      </c>
      <c r="F6">
        <v>0.019082</v>
      </c>
      <c r="G6">
        <v>46227</v>
      </c>
      <c r="H6">
        <v>0.393538</v>
      </c>
      <c r="I6">
        <v>46213</v>
      </c>
      <c r="J6">
        <v>1.08263</v>
      </c>
      <c r="K6">
        <v>869</v>
      </c>
      <c r="L6">
        <v>0</v>
      </c>
      <c r="M6">
        <v>-1</v>
      </c>
      <c r="N6">
        <v>29</v>
      </c>
      <c r="O6">
        <v>0.032742</v>
      </c>
      <c r="P6">
        <v>29</v>
      </c>
      <c r="Q6">
        <v>600</v>
      </c>
      <c r="R6" s="1">
        <v>600</v>
      </c>
      <c r="T6">
        <f t="shared" si="0"/>
        <v>0</v>
      </c>
      <c r="U6" s="1">
        <f t="shared" si="1"/>
        <v>0</v>
      </c>
    </row>
    <row r="7" spans="1:21">
      <c r="A7" t="s">
        <v>59</v>
      </c>
      <c r="B7">
        <v>227320</v>
      </c>
      <c r="C7">
        <v>814134</v>
      </c>
      <c r="D7">
        <v>4397</v>
      </c>
      <c r="E7">
        <v>91819</v>
      </c>
      <c r="F7">
        <v>0.034798</v>
      </c>
      <c r="G7">
        <v>90128</v>
      </c>
      <c r="H7">
        <v>0.414431</v>
      </c>
      <c r="I7">
        <v>90127</v>
      </c>
      <c r="J7">
        <v>2.18768</v>
      </c>
      <c r="K7">
        <v>873</v>
      </c>
      <c r="L7">
        <v>0</v>
      </c>
      <c r="M7">
        <v>-1</v>
      </c>
      <c r="N7">
        <v>25</v>
      </c>
      <c r="O7">
        <v>0.140021</v>
      </c>
      <c r="P7">
        <v>25</v>
      </c>
      <c r="Q7">
        <v>600</v>
      </c>
      <c r="R7" s="1">
        <v>600</v>
      </c>
      <c r="T7">
        <f t="shared" si="0"/>
        <v>0</v>
      </c>
      <c r="U7" s="1">
        <f t="shared" si="1"/>
        <v>0</v>
      </c>
    </row>
    <row r="8" spans="1:21">
      <c r="A8" t="s">
        <v>60</v>
      </c>
      <c r="B8">
        <v>21363</v>
      </c>
      <c r="C8">
        <v>91286</v>
      </c>
      <c r="D8">
        <v>1883</v>
      </c>
      <c r="E8">
        <v>18104</v>
      </c>
      <c r="F8">
        <v>0.005983</v>
      </c>
      <c r="G8">
        <v>10003</v>
      </c>
      <c r="H8">
        <v>0.024559</v>
      </c>
      <c r="I8">
        <v>9994</v>
      </c>
      <c r="J8">
        <v>0.229373</v>
      </c>
      <c r="K8">
        <v>3162</v>
      </c>
      <c r="L8">
        <v>184</v>
      </c>
      <c r="M8">
        <v>-1</v>
      </c>
      <c r="N8">
        <v>11</v>
      </c>
      <c r="O8">
        <v>0.007586</v>
      </c>
      <c r="P8">
        <v>11</v>
      </c>
      <c r="Q8">
        <v>600</v>
      </c>
      <c r="R8" s="1">
        <v>600</v>
      </c>
      <c r="T8">
        <f t="shared" si="0"/>
        <v>0</v>
      </c>
      <c r="U8" s="1">
        <f t="shared" si="1"/>
        <v>0</v>
      </c>
    </row>
    <row r="9" spans="1:21">
      <c r="A9" t="s">
        <v>61</v>
      </c>
      <c r="B9">
        <v>1882</v>
      </c>
      <c r="C9">
        <v>1740</v>
      </c>
      <c r="D9">
        <v>583</v>
      </c>
      <c r="E9">
        <v>524</v>
      </c>
      <c r="F9">
        <v>0.000158</v>
      </c>
      <c r="G9">
        <v>20</v>
      </c>
      <c r="H9">
        <v>0.000125</v>
      </c>
      <c r="I9">
        <v>0</v>
      </c>
      <c r="J9">
        <v>0.003028</v>
      </c>
      <c r="K9">
        <v>0</v>
      </c>
      <c r="L9">
        <v>0</v>
      </c>
      <c r="M9">
        <v>0.009206</v>
      </c>
      <c r="N9">
        <v>2</v>
      </c>
      <c r="O9">
        <v>0.000157</v>
      </c>
      <c r="P9">
        <v>2</v>
      </c>
      <c r="Q9">
        <v>0.01878</v>
      </c>
      <c r="R9" s="1">
        <v>0.012935</v>
      </c>
      <c r="T9">
        <f t="shared" si="0"/>
        <v>0</v>
      </c>
      <c r="U9" s="1">
        <f t="shared" si="1"/>
        <v>1</v>
      </c>
    </row>
    <row r="10" spans="1:21">
      <c r="A10" t="s">
        <v>63</v>
      </c>
      <c r="B10">
        <v>226413</v>
      </c>
      <c r="C10">
        <v>716460</v>
      </c>
      <c r="D10">
        <v>3357</v>
      </c>
      <c r="E10">
        <v>57594</v>
      </c>
      <c r="F10">
        <v>0.033736</v>
      </c>
      <c r="G10">
        <v>56032</v>
      </c>
      <c r="H10">
        <v>0.238279</v>
      </c>
      <c r="I10">
        <v>56032</v>
      </c>
      <c r="J10">
        <v>1.73966</v>
      </c>
      <c r="K10">
        <v>901</v>
      </c>
      <c r="L10">
        <v>0</v>
      </c>
      <c r="M10">
        <v>-1</v>
      </c>
      <c r="N10">
        <v>20</v>
      </c>
      <c r="O10">
        <v>0.138817</v>
      </c>
      <c r="P10">
        <v>20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64</v>
      </c>
      <c r="B11">
        <v>5094</v>
      </c>
      <c r="C11">
        <v>7515</v>
      </c>
      <c r="D11">
        <v>492</v>
      </c>
      <c r="E11">
        <v>1777</v>
      </c>
      <c r="F11">
        <v>0.000595</v>
      </c>
      <c r="G11">
        <v>347</v>
      </c>
      <c r="H11">
        <v>0.001281</v>
      </c>
      <c r="I11">
        <v>218</v>
      </c>
      <c r="J11">
        <v>0.078505</v>
      </c>
      <c r="K11">
        <v>453</v>
      </c>
      <c r="L11">
        <v>1</v>
      </c>
      <c r="M11">
        <v>0.016618</v>
      </c>
      <c r="N11">
        <v>4</v>
      </c>
      <c r="O11">
        <v>0.0008</v>
      </c>
      <c r="P11">
        <v>5</v>
      </c>
      <c r="Q11">
        <v>0.114151</v>
      </c>
      <c r="R11" s="1">
        <v>0.075759</v>
      </c>
      <c r="T11">
        <f t="shared" si="0"/>
        <v>0</v>
      </c>
      <c r="U11" s="1">
        <f t="shared" si="1"/>
        <v>1</v>
      </c>
    </row>
    <row r="12" spans="1:21">
      <c r="A12" t="s">
        <v>65</v>
      </c>
      <c r="B12">
        <v>4158</v>
      </c>
      <c r="C12">
        <v>13422</v>
      </c>
      <c r="D12">
        <v>123</v>
      </c>
      <c r="E12">
        <v>2406</v>
      </c>
      <c r="F12">
        <v>0.000557</v>
      </c>
      <c r="G12">
        <v>2406</v>
      </c>
      <c r="H12">
        <v>0.009176</v>
      </c>
      <c r="I12">
        <v>2406</v>
      </c>
      <c r="J12">
        <v>0.686096</v>
      </c>
      <c r="K12">
        <v>1118</v>
      </c>
      <c r="L12">
        <v>247</v>
      </c>
      <c r="M12">
        <v>5.21767</v>
      </c>
      <c r="N12">
        <v>31</v>
      </c>
      <c r="O12">
        <v>0.001424</v>
      </c>
      <c r="P12">
        <v>31</v>
      </c>
      <c r="Q12">
        <v>5.97423</v>
      </c>
      <c r="R12" s="1">
        <v>1.60063</v>
      </c>
      <c r="T12">
        <f t="shared" si="0"/>
        <v>0</v>
      </c>
      <c r="U12" s="1">
        <f t="shared" si="1"/>
        <v>1</v>
      </c>
    </row>
    <row r="13" spans="1:21">
      <c r="A13" t="s">
        <v>66</v>
      </c>
      <c r="B13">
        <v>11204</v>
      </c>
      <c r="C13">
        <v>117619</v>
      </c>
      <c r="D13">
        <v>239</v>
      </c>
      <c r="E13">
        <v>28441</v>
      </c>
      <c r="F13">
        <v>0.007683</v>
      </c>
      <c r="G13">
        <v>28441</v>
      </c>
      <c r="H13">
        <v>0.687777</v>
      </c>
      <c r="I13">
        <v>28441</v>
      </c>
      <c r="J13">
        <v>0.000967</v>
      </c>
      <c r="K13">
        <v>343</v>
      </c>
      <c r="L13">
        <v>0</v>
      </c>
      <c r="M13">
        <v>-1</v>
      </c>
      <c r="N13">
        <v>101</v>
      </c>
      <c r="O13">
        <v>0.04214</v>
      </c>
      <c r="P13">
        <v>101</v>
      </c>
      <c r="Q13">
        <v>600</v>
      </c>
      <c r="R13" s="1">
        <v>600</v>
      </c>
      <c r="T13">
        <f t="shared" si="0"/>
        <v>0</v>
      </c>
      <c r="U13" s="1">
        <f t="shared" si="1"/>
        <v>0</v>
      </c>
    </row>
    <row r="14" spans="1:21">
      <c r="A14" t="s">
        <v>67</v>
      </c>
      <c r="B14">
        <v>332689</v>
      </c>
      <c r="C14">
        <v>820644</v>
      </c>
      <c r="D14">
        <v>26475</v>
      </c>
      <c r="E14">
        <v>169690</v>
      </c>
      <c r="F14">
        <v>0.094222</v>
      </c>
      <c r="G14">
        <v>33551</v>
      </c>
      <c r="H14">
        <v>0.171453</v>
      </c>
      <c r="I14">
        <v>33444</v>
      </c>
      <c r="J14">
        <v>0.207417</v>
      </c>
      <c r="K14">
        <v>832</v>
      </c>
      <c r="L14">
        <v>0</v>
      </c>
      <c r="M14">
        <v>-1</v>
      </c>
      <c r="N14">
        <v>7</v>
      </c>
      <c r="O14">
        <v>0.181646</v>
      </c>
      <c r="P14">
        <v>7</v>
      </c>
      <c r="Q14">
        <v>600</v>
      </c>
      <c r="R14" s="1">
        <v>600</v>
      </c>
      <c r="T14">
        <f t="shared" si="0"/>
        <v>0</v>
      </c>
      <c r="U14" s="1">
        <f t="shared" si="1"/>
        <v>0</v>
      </c>
    </row>
    <row r="15" spans="1:21">
      <c r="A15" t="s">
        <v>68</v>
      </c>
      <c r="B15">
        <v>379</v>
      </c>
      <c r="C15">
        <v>914</v>
      </c>
      <c r="D15">
        <v>9</v>
      </c>
      <c r="E15">
        <v>36</v>
      </c>
      <c r="F15" s="3" t="s">
        <v>45</v>
      </c>
      <c r="G15">
        <v>36</v>
      </c>
      <c r="H15" s="3" t="s">
        <v>187</v>
      </c>
      <c r="I15">
        <v>36</v>
      </c>
      <c r="J15" s="3" t="s">
        <v>69</v>
      </c>
      <c r="K15">
        <v>2</v>
      </c>
      <c r="L15">
        <v>0</v>
      </c>
      <c r="M15">
        <v>0.005783</v>
      </c>
      <c r="N15">
        <v>8</v>
      </c>
      <c r="O15">
        <v>0.000111</v>
      </c>
      <c r="P15">
        <v>8</v>
      </c>
      <c r="Q15">
        <v>0.065021</v>
      </c>
      <c r="R15" s="1">
        <v>0.030118</v>
      </c>
      <c r="T15">
        <f t="shared" si="0"/>
        <v>0</v>
      </c>
      <c r="U15" s="1">
        <f t="shared" si="1"/>
        <v>1</v>
      </c>
    </row>
    <row r="16" spans="1:21">
      <c r="A16" t="s">
        <v>70</v>
      </c>
      <c r="B16">
        <v>32430</v>
      </c>
      <c r="C16">
        <v>54397</v>
      </c>
      <c r="D16">
        <v>1542</v>
      </c>
      <c r="E16">
        <v>15930</v>
      </c>
      <c r="F16">
        <v>0.003179</v>
      </c>
      <c r="G16">
        <v>9773</v>
      </c>
      <c r="H16">
        <v>0.025489</v>
      </c>
      <c r="I16">
        <v>9606</v>
      </c>
      <c r="J16">
        <v>0.166423</v>
      </c>
      <c r="K16">
        <v>1878</v>
      </c>
      <c r="L16">
        <v>165</v>
      </c>
      <c r="M16">
        <v>-1</v>
      </c>
      <c r="N16">
        <v>5</v>
      </c>
      <c r="O16">
        <v>0.002993</v>
      </c>
      <c r="P16">
        <v>5</v>
      </c>
      <c r="Q16">
        <v>600</v>
      </c>
      <c r="R16" s="1">
        <v>600</v>
      </c>
      <c r="T16">
        <f t="shared" si="0"/>
        <v>0</v>
      </c>
      <c r="U16" s="1">
        <f t="shared" si="1"/>
        <v>0</v>
      </c>
    </row>
    <row r="17" spans="1:21">
      <c r="A17" t="s">
        <v>71</v>
      </c>
      <c r="B17">
        <v>1133</v>
      </c>
      <c r="C17">
        <v>5451</v>
      </c>
      <c r="D17">
        <v>588</v>
      </c>
      <c r="E17">
        <v>4048</v>
      </c>
      <c r="F17">
        <v>0.00079</v>
      </c>
      <c r="G17">
        <v>776</v>
      </c>
      <c r="H17">
        <v>0.004136</v>
      </c>
      <c r="I17">
        <v>459</v>
      </c>
      <c r="J17">
        <v>0.122304</v>
      </c>
      <c r="K17">
        <v>590</v>
      </c>
      <c r="L17">
        <v>5</v>
      </c>
      <c r="M17">
        <v>0.049828</v>
      </c>
      <c r="N17">
        <v>6</v>
      </c>
      <c r="O17">
        <v>0.000494</v>
      </c>
      <c r="P17">
        <v>7</v>
      </c>
      <c r="Q17">
        <v>0.204792</v>
      </c>
      <c r="R17" s="1">
        <v>0.161703</v>
      </c>
      <c r="T17">
        <f t="shared" si="0"/>
        <v>0</v>
      </c>
      <c r="U17" s="1">
        <f t="shared" si="1"/>
        <v>1</v>
      </c>
    </row>
    <row r="18" spans="1:21">
      <c r="A18" t="s">
        <v>72</v>
      </c>
      <c r="B18">
        <v>33696</v>
      </c>
      <c r="C18">
        <v>180811</v>
      </c>
      <c r="D18">
        <v>7541</v>
      </c>
      <c r="E18">
        <v>118896</v>
      </c>
      <c r="F18">
        <v>0.030144</v>
      </c>
      <c r="G18">
        <v>90403</v>
      </c>
      <c r="H18">
        <v>0.432728</v>
      </c>
      <c r="I18">
        <v>90268</v>
      </c>
      <c r="J18">
        <v>0.315474</v>
      </c>
      <c r="K18">
        <v>560</v>
      </c>
      <c r="L18">
        <v>0</v>
      </c>
      <c r="M18">
        <v>-1</v>
      </c>
      <c r="N18">
        <v>7</v>
      </c>
      <c r="O18">
        <v>0.024769</v>
      </c>
      <c r="P18">
        <v>7</v>
      </c>
      <c r="Q18">
        <v>600</v>
      </c>
      <c r="R18" s="1">
        <v>600</v>
      </c>
      <c r="T18">
        <f t="shared" si="0"/>
        <v>0</v>
      </c>
      <c r="U18" s="1">
        <f t="shared" si="1"/>
        <v>0</v>
      </c>
    </row>
    <row r="19" spans="1:21">
      <c r="A19" t="s">
        <v>73</v>
      </c>
      <c r="B19">
        <v>143</v>
      </c>
      <c r="C19">
        <v>623</v>
      </c>
      <c r="D19">
        <v>80</v>
      </c>
      <c r="E19">
        <v>442</v>
      </c>
      <c r="F19" s="3" t="s">
        <v>205</v>
      </c>
      <c r="G19">
        <v>139</v>
      </c>
      <c r="H19">
        <v>0.000516</v>
      </c>
      <c r="I19">
        <v>105</v>
      </c>
      <c r="J19">
        <v>0.10963</v>
      </c>
      <c r="K19">
        <v>144</v>
      </c>
      <c r="L19">
        <v>0</v>
      </c>
      <c r="M19">
        <v>0.010929</v>
      </c>
      <c r="N19">
        <v>6</v>
      </c>
      <c r="O19" s="3" t="s">
        <v>62</v>
      </c>
      <c r="P19">
        <v>7</v>
      </c>
      <c r="Q19">
        <v>0.135225</v>
      </c>
      <c r="R19" s="1">
        <v>0.028942</v>
      </c>
      <c r="T19">
        <f t="shared" si="0"/>
        <v>0</v>
      </c>
      <c r="U19" s="1">
        <f t="shared" si="1"/>
        <v>1</v>
      </c>
    </row>
    <row r="20" spans="1:21">
      <c r="A20" t="s">
        <v>74</v>
      </c>
      <c r="B20">
        <v>1266</v>
      </c>
      <c r="C20">
        <v>6451</v>
      </c>
      <c r="D20">
        <v>761</v>
      </c>
      <c r="E20">
        <v>5580</v>
      </c>
      <c r="F20">
        <v>0.001125</v>
      </c>
      <c r="G20">
        <v>689</v>
      </c>
      <c r="H20">
        <v>0.005557</v>
      </c>
      <c r="I20">
        <v>139</v>
      </c>
      <c r="J20">
        <v>0.039152</v>
      </c>
      <c r="K20">
        <v>54</v>
      </c>
      <c r="L20">
        <v>0</v>
      </c>
      <c r="M20">
        <v>0.006696</v>
      </c>
      <c r="N20">
        <v>4</v>
      </c>
      <c r="O20">
        <v>0.000666</v>
      </c>
      <c r="P20">
        <v>4</v>
      </c>
      <c r="Q20">
        <v>0.067811</v>
      </c>
      <c r="R20" s="1">
        <v>0.039569</v>
      </c>
      <c r="T20">
        <f t="shared" si="0"/>
        <v>0</v>
      </c>
      <c r="U20" s="1">
        <f t="shared" si="1"/>
        <v>1</v>
      </c>
    </row>
    <row r="21" spans="1:21">
      <c r="A21" t="s">
        <v>75</v>
      </c>
      <c r="B21">
        <v>410</v>
      </c>
      <c r="C21">
        <v>2765</v>
      </c>
      <c r="D21">
        <v>126</v>
      </c>
      <c r="E21">
        <v>1182</v>
      </c>
      <c r="F21">
        <v>0.000233</v>
      </c>
      <c r="G21">
        <v>320</v>
      </c>
      <c r="H21">
        <v>0.001985</v>
      </c>
      <c r="I21">
        <v>183</v>
      </c>
      <c r="J21">
        <v>0.07913</v>
      </c>
      <c r="K21">
        <v>306</v>
      </c>
      <c r="L21">
        <v>4</v>
      </c>
      <c r="M21">
        <v>0.077859</v>
      </c>
      <c r="N21">
        <v>12</v>
      </c>
      <c r="O21">
        <v>0.000285</v>
      </c>
      <c r="P21">
        <v>12</v>
      </c>
      <c r="Q21">
        <v>0.21189</v>
      </c>
      <c r="R21" s="1">
        <v>0.076931</v>
      </c>
      <c r="T21">
        <f t="shared" si="0"/>
        <v>0</v>
      </c>
      <c r="U21" s="1">
        <f t="shared" si="1"/>
        <v>1</v>
      </c>
    </row>
    <row r="22" spans="1:21">
      <c r="A22" t="s">
        <v>76</v>
      </c>
      <c r="B22">
        <v>113</v>
      </c>
      <c r="C22">
        <v>2196</v>
      </c>
      <c r="D22">
        <v>112</v>
      </c>
      <c r="E22">
        <v>2195</v>
      </c>
      <c r="F22">
        <v>0.000409</v>
      </c>
      <c r="G22">
        <v>1939</v>
      </c>
      <c r="H22">
        <v>0.008718</v>
      </c>
      <c r="I22">
        <v>1833</v>
      </c>
      <c r="J22">
        <v>0.624358</v>
      </c>
      <c r="K22">
        <v>909</v>
      </c>
      <c r="L22">
        <v>29</v>
      </c>
      <c r="M22">
        <v>0.851884</v>
      </c>
      <c r="N22">
        <v>10</v>
      </c>
      <c r="O22">
        <v>0.000307</v>
      </c>
      <c r="P22">
        <v>12</v>
      </c>
      <c r="Q22">
        <v>1.5071</v>
      </c>
      <c r="R22" s="1">
        <v>0.431548</v>
      </c>
      <c r="T22">
        <f t="shared" si="0"/>
        <v>0</v>
      </c>
      <c r="U22" s="1">
        <f t="shared" si="1"/>
        <v>1</v>
      </c>
    </row>
    <row r="23" spans="1:21">
      <c r="A23" t="s">
        <v>77</v>
      </c>
      <c r="B23">
        <v>6809</v>
      </c>
      <c r="C23">
        <v>7680</v>
      </c>
      <c r="D23">
        <v>228</v>
      </c>
      <c r="E23">
        <v>805</v>
      </c>
      <c r="F23">
        <v>0.000211</v>
      </c>
      <c r="G23">
        <v>196</v>
      </c>
      <c r="H23">
        <v>0.00028</v>
      </c>
      <c r="I23">
        <v>163</v>
      </c>
      <c r="J23">
        <v>0.045932</v>
      </c>
      <c r="K23">
        <v>169</v>
      </c>
      <c r="L23">
        <v>0</v>
      </c>
      <c r="M23">
        <v>0.005539</v>
      </c>
      <c r="N23">
        <v>3</v>
      </c>
      <c r="O23">
        <v>0.00032</v>
      </c>
      <c r="P23">
        <v>3</v>
      </c>
      <c r="Q23">
        <v>0.063064</v>
      </c>
      <c r="R23" s="1">
        <v>0.058513</v>
      </c>
      <c r="T23">
        <f t="shared" si="0"/>
        <v>0</v>
      </c>
      <c r="U23" s="1">
        <f t="shared" si="1"/>
        <v>1</v>
      </c>
    </row>
    <row r="24" spans="1:21">
      <c r="A24" t="s">
        <v>78</v>
      </c>
      <c r="B24">
        <v>92117</v>
      </c>
      <c r="C24">
        <v>360767</v>
      </c>
      <c r="D24">
        <v>19832</v>
      </c>
      <c r="E24">
        <v>264678</v>
      </c>
      <c r="F24">
        <v>0.052461</v>
      </c>
      <c r="G24">
        <v>139137</v>
      </c>
      <c r="H24">
        <v>0.894897</v>
      </c>
      <c r="I24">
        <v>138989</v>
      </c>
      <c r="J24">
        <v>0.206802</v>
      </c>
      <c r="K24">
        <v>529</v>
      </c>
      <c r="L24">
        <v>0</v>
      </c>
      <c r="M24">
        <v>-1</v>
      </c>
      <c r="N24">
        <v>4</v>
      </c>
      <c r="O24">
        <v>0.049682</v>
      </c>
      <c r="P24">
        <v>4</v>
      </c>
      <c r="Q24">
        <v>600</v>
      </c>
      <c r="R24" s="1">
        <v>600</v>
      </c>
      <c r="T24">
        <f t="shared" si="0"/>
        <v>0</v>
      </c>
      <c r="U24" s="1">
        <f t="shared" si="1"/>
        <v>0</v>
      </c>
    </row>
    <row r="25" spans="1:21">
      <c r="A25" t="s">
        <v>79</v>
      </c>
      <c r="B25">
        <v>4941</v>
      </c>
      <c r="C25">
        <v>6594</v>
      </c>
      <c r="D25">
        <v>107</v>
      </c>
      <c r="E25">
        <v>199</v>
      </c>
      <c r="F25">
        <v>0.000207</v>
      </c>
      <c r="G25">
        <v>63</v>
      </c>
      <c r="H25" s="3" t="s">
        <v>206</v>
      </c>
      <c r="I25">
        <v>59</v>
      </c>
      <c r="J25">
        <v>0.012418</v>
      </c>
      <c r="K25">
        <v>52</v>
      </c>
      <c r="L25">
        <v>1</v>
      </c>
      <c r="M25">
        <v>0.01099</v>
      </c>
      <c r="N25">
        <v>4</v>
      </c>
      <c r="O25">
        <v>0.00049</v>
      </c>
      <c r="P25">
        <v>4</v>
      </c>
      <c r="Q25">
        <v>0.040334</v>
      </c>
      <c r="R25" s="1">
        <v>0.023392</v>
      </c>
      <c r="T25">
        <f t="shared" si="0"/>
        <v>0</v>
      </c>
      <c r="U25" s="1">
        <f t="shared" si="1"/>
        <v>1</v>
      </c>
    </row>
    <row r="26" spans="1:21">
      <c r="A26" t="s">
        <v>80</v>
      </c>
      <c r="B26">
        <v>91813</v>
      </c>
      <c r="C26">
        <v>125704</v>
      </c>
      <c r="D26">
        <v>114</v>
      </c>
      <c r="E26">
        <v>136</v>
      </c>
      <c r="F26">
        <v>0.005174</v>
      </c>
      <c r="G26">
        <v>0</v>
      </c>
      <c r="H26" s="3" t="s">
        <v>98</v>
      </c>
      <c r="I26">
        <v>0</v>
      </c>
      <c r="J26">
        <v>0</v>
      </c>
      <c r="K26">
        <v>0</v>
      </c>
      <c r="L26">
        <v>0</v>
      </c>
      <c r="M26">
        <v>0.005119</v>
      </c>
      <c r="N26">
        <v>5</v>
      </c>
      <c r="O26">
        <v>0.015233</v>
      </c>
      <c r="P26">
        <v>5</v>
      </c>
      <c r="Q26">
        <v>0.098348</v>
      </c>
      <c r="R26" s="1">
        <v>0.049308</v>
      </c>
      <c r="T26">
        <f t="shared" si="0"/>
        <v>0</v>
      </c>
      <c r="U26" s="1">
        <f t="shared" si="1"/>
        <v>1</v>
      </c>
    </row>
    <row r="27" spans="1:21">
      <c r="A27" t="s">
        <v>82</v>
      </c>
      <c r="B27">
        <v>96</v>
      </c>
      <c r="C27">
        <v>117</v>
      </c>
      <c r="D27">
        <v>16</v>
      </c>
      <c r="E27">
        <v>26</v>
      </c>
      <c r="F27" s="3" t="s">
        <v>126</v>
      </c>
      <c r="G27">
        <v>6</v>
      </c>
      <c r="H27" s="3" t="s">
        <v>22</v>
      </c>
      <c r="I27">
        <v>6</v>
      </c>
      <c r="J27">
        <v>0.010077</v>
      </c>
      <c r="K27">
        <v>7</v>
      </c>
      <c r="L27">
        <v>0</v>
      </c>
      <c r="M27">
        <v>0.005644</v>
      </c>
      <c r="N27">
        <v>3</v>
      </c>
      <c r="O27" s="3" t="s">
        <v>22</v>
      </c>
      <c r="P27">
        <v>3</v>
      </c>
      <c r="Q27">
        <v>0.026004</v>
      </c>
      <c r="R27" s="1">
        <v>0.014045</v>
      </c>
      <c r="T27">
        <f t="shared" si="0"/>
        <v>0</v>
      </c>
      <c r="U27" s="1">
        <f t="shared" si="1"/>
        <v>1</v>
      </c>
    </row>
    <row r="28" spans="1:21">
      <c r="A28" t="s">
        <v>85</v>
      </c>
      <c r="B28">
        <v>761</v>
      </c>
      <c r="C28">
        <v>1029</v>
      </c>
      <c r="D28">
        <v>51</v>
      </c>
      <c r="E28">
        <v>139</v>
      </c>
      <c r="F28" s="3" t="s">
        <v>137</v>
      </c>
      <c r="G28">
        <v>13</v>
      </c>
      <c r="H28" s="3" t="s">
        <v>207</v>
      </c>
      <c r="I28">
        <v>0</v>
      </c>
      <c r="J28">
        <v>0.000252</v>
      </c>
      <c r="K28">
        <v>0</v>
      </c>
      <c r="L28">
        <v>0</v>
      </c>
      <c r="M28">
        <v>0.009751</v>
      </c>
      <c r="N28">
        <v>4</v>
      </c>
      <c r="O28">
        <v>0.000121</v>
      </c>
      <c r="P28">
        <v>4</v>
      </c>
      <c r="Q28">
        <v>0.020018</v>
      </c>
      <c r="R28" s="1">
        <v>0.002739</v>
      </c>
      <c r="T28">
        <f t="shared" si="0"/>
        <v>0</v>
      </c>
      <c r="U28" s="1">
        <f t="shared" si="1"/>
        <v>1</v>
      </c>
    </row>
    <row r="29" spans="1:21">
      <c r="A29" t="s">
        <v>89</v>
      </c>
      <c r="B29">
        <v>146</v>
      </c>
      <c r="C29">
        <v>9828</v>
      </c>
      <c r="D29">
        <v>136</v>
      </c>
      <c r="E29">
        <v>8987</v>
      </c>
      <c r="F29">
        <v>0.001197</v>
      </c>
      <c r="G29">
        <v>8987</v>
      </c>
      <c r="H29">
        <v>0.086212</v>
      </c>
      <c r="I29">
        <v>8987</v>
      </c>
      <c r="J29">
        <v>2.81749</v>
      </c>
      <c r="K29">
        <v>6160</v>
      </c>
      <c r="L29">
        <v>31</v>
      </c>
      <c r="M29">
        <v>-1</v>
      </c>
      <c r="N29">
        <v>105</v>
      </c>
      <c r="O29">
        <v>0.002616</v>
      </c>
      <c r="P29">
        <v>105</v>
      </c>
      <c r="Q29">
        <v>600</v>
      </c>
      <c r="R29" s="1">
        <v>6.34428</v>
      </c>
      <c r="T29">
        <f t="shared" si="0"/>
        <v>0</v>
      </c>
      <c r="U29" s="1">
        <f t="shared" si="1"/>
        <v>1</v>
      </c>
    </row>
    <row r="30" spans="1:21">
      <c r="A30" t="s">
        <v>90</v>
      </c>
      <c r="B30">
        <v>488</v>
      </c>
      <c r="C30">
        <v>71011</v>
      </c>
      <c r="D30">
        <v>400</v>
      </c>
      <c r="E30">
        <v>67926</v>
      </c>
      <c r="F30">
        <v>0.013581</v>
      </c>
      <c r="G30">
        <v>-1</v>
      </c>
      <c r="H30">
        <v>3.82677</v>
      </c>
      <c r="I30">
        <v>-1</v>
      </c>
      <c r="J30">
        <v>-1</v>
      </c>
      <c r="K30">
        <v>0</v>
      </c>
      <c r="L30">
        <v>0</v>
      </c>
      <c r="M30">
        <v>-1</v>
      </c>
      <c r="N30">
        <v>158</v>
      </c>
      <c r="O30">
        <v>0.085632</v>
      </c>
      <c r="P30">
        <v>158</v>
      </c>
      <c r="Q30">
        <v>600</v>
      </c>
      <c r="R30" s="1">
        <v>600</v>
      </c>
      <c r="T30">
        <f t="shared" si="0"/>
        <v>0</v>
      </c>
      <c r="U30" s="1">
        <f t="shared" si="1"/>
        <v>0</v>
      </c>
    </row>
    <row r="31" spans="1:21">
      <c r="A31" t="s">
        <v>91</v>
      </c>
      <c r="B31">
        <v>1303</v>
      </c>
      <c r="C31">
        <v>531893</v>
      </c>
      <c r="D31">
        <v>1215</v>
      </c>
      <c r="E31">
        <v>527683</v>
      </c>
      <c r="F31">
        <v>0.076154</v>
      </c>
      <c r="G31">
        <v>527683</v>
      </c>
      <c r="H31">
        <v>71.0069</v>
      </c>
      <c r="I31">
        <v>527683</v>
      </c>
      <c r="J31">
        <v>275.314</v>
      </c>
      <c r="K31">
        <v>0</v>
      </c>
      <c r="L31">
        <v>0</v>
      </c>
      <c r="M31">
        <v>-1</v>
      </c>
      <c r="N31">
        <v>210</v>
      </c>
      <c r="O31">
        <v>1.11664</v>
      </c>
      <c r="P31">
        <v>210</v>
      </c>
      <c r="Q31">
        <v>600</v>
      </c>
      <c r="R31" s="1">
        <v>600</v>
      </c>
      <c r="T31">
        <f t="shared" si="0"/>
        <v>0</v>
      </c>
      <c r="U31" s="1">
        <f t="shared" si="1"/>
        <v>0</v>
      </c>
    </row>
    <row r="32" spans="1:21">
      <c r="A32" t="s">
        <v>92</v>
      </c>
      <c r="B32">
        <v>10972</v>
      </c>
      <c r="C32">
        <v>175573</v>
      </c>
      <c r="D32">
        <v>1746</v>
      </c>
      <c r="E32">
        <v>59515</v>
      </c>
      <c r="F32">
        <v>0.010071</v>
      </c>
      <c r="G32">
        <v>58445</v>
      </c>
      <c r="H32">
        <v>0.295011</v>
      </c>
      <c r="I32">
        <v>58438</v>
      </c>
      <c r="J32">
        <v>4.08551</v>
      </c>
      <c r="K32">
        <v>768</v>
      </c>
      <c r="L32">
        <v>0</v>
      </c>
      <c r="M32">
        <v>-1</v>
      </c>
      <c r="N32">
        <v>41</v>
      </c>
      <c r="O32">
        <v>0.026221</v>
      </c>
      <c r="P32">
        <v>41</v>
      </c>
      <c r="Q32">
        <v>600</v>
      </c>
      <c r="R32" s="1">
        <v>600</v>
      </c>
      <c r="T32">
        <f t="shared" si="0"/>
        <v>0</v>
      </c>
      <c r="U32" s="1">
        <f t="shared" si="1"/>
        <v>0</v>
      </c>
    </row>
    <row r="33" spans="1:21">
      <c r="A33" t="s">
        <v>93</v>
      </c>
      <c r="B33">
        <v>113</v>
      </c>
      <c r="C33">
        <v>6222</v>
      </c>
      <c r="D33">
        <v>108</v>
      </c>
      <c r="E33">
        <v>5763</v>
      </c>
      <c r="F33">
        <v>0.000621</v>
      </c>
      <c r="G33">
        <v>5669</v>
      </c>
      <c r="H33">
        <v>0.036865</v>
      </c>
      <c r="I33">
        <v>5669</v>
      </c>
      <c r="J33">
        <v>0.532798</v>
      </c>
      <c r="K33">
        <v>2177</v>
      </c>
      <c r="L33">
        <v>0</v>
      </c>
      <c r="M33">
        <v>0.294114</v>
      </c>
      <c r="N33">
        <v>96</v>
      </c>
      <c r="O33">
        <v>0.001025</v>
      </c>
      <c r="P33">
        <v>96</v>
      </c>
      <c r="Q33">
        <v>1.07545</v>
      </c>
      <c r="R33" s="1">
        <v>5.29685</v>
      </c>
      <c r="T33">
        <f t="shared" si="0"/>
        <v>1</v>
      </c>
      <c r="U33" s="1">
        <f t="shared" si="1"/>
        <v>0</v>
      </c>
    </row>
    <row r="34" spans="1:21">
      <c r="A34" t="s">
        <v>94</v>
      </c>
      <c r="B34">
        <v>1206</v>
      </c>
      <c r="C34">
        <v>65990</v>
      </c>
      <c r="D34">
        <v>528</v>
      </c>
      <c r="E34">
        <v>56435</v>
      </c>
      <c r="F34">
        <v>0.012697</v>
      </c>
      <c r="G34">
        <v>54814</v>
      </c>
      <c r="H34">
        <v>2.12278</v>
      </c>
      <c r="I34">
        <v>54808</v>
      </c>
      <c r="J34">
        <v>218.03</v>
      </c>
      <c r="K34">
        <v>713</v>
      </c>
      <c r="L34">
        <v>0</v>
      </c>
      <c r="M34">
        <v>-1</v>
      </c>
      <c r="N34">
        <v>79</v>
      </c>
      <c r="O34">
        <v>0.039473</v>
      </c>
      <c r="P34">
        <v>79</v>
      </c>
      <c r="Q34">
        <v>600</v>
      </c>
      <c r="R34" s="1">
        <v>600</v>
      </c>
      <c r="T34">
        <f t="shared" si="0"/>
        <v>0</v>
      </c>
      <c r="U34" s="1">
        <f t="shared" si="1"/>
        <v>0</v>
      </c>
    </row>
    <row r="35" spans="1:21">
      <c r="A35" t="s">
        <v>95</v>
      </c>
      <c r="B35">
        <v>17151</v>
      </c>
      <c r="C35">
        <v>24015</v>
      </c>
      <c r="D35">
        <v>270</v>
      </c>
      <c r="E35">
        <v>2200</v>
      </c>
      <c r="F35">
        <v>0.001453</v>
      </c>
      <c r="G35">
        <v>1514</v>
      </c>
      <c r="H35">
        <v>0.004784</v>
      </c>
      <c r="I35">
        <v>1508</v>
      </c>
      <c r="J35">
        <v>0.930136</v>
      </c>
      <c r="K35">
        <v>1210</v>
      </c>
      <c r="L35">
        <v>66</v>
      </c>
      <c r="M35">
        <v>1.75255</v>
      </c>
      <c r="N35">
        <v>10</v>
      </c>
      <c r="O35">
        <v>0.003905</v>
      </c>
      <c r="P35">
        <v>11</v>
      </c>
      <c r="Q35">
        <v>2.84444</v>
      </c>
      <c r="R35" s="1">
        <v>1.2278</v>
      </c>
      <c r="T35">
        <f t="shared" si="0"/>
        <v>0</v>
      </c>
      <c r="U35" s="1">
        <f t="shared" si="1"/>
        <v>1</v>
      </c>
    </row>
    <row r="36" spans="1:21">
      <c r="A36" t="s">
        <v>96</v>
      </c>
      <c r="B36">
        <v>72</v>
      </c>
      <c r="C36">
        <v>355</v>
      </c>
      <c r="D36">
        <v>18</v>
      </c>
      <c r="E36">
        <v>150</v>
      </c>
      <c r="F36" s="3" t="s">
        <v>49</v>
      </c>
      <c r="G36">
        <v>150</v>
      </c>
      <c r="H36">
        <v>0.000222</v>
      </c>
      <c r="I36">
        <v>150</v>
      </c>
      <c r="J36" s="3" t="s">
        <v>107</v>
      </c>
      <c r="K36">
        <v>1</v>
      </c>
      <c r="L36">
        <v>0</v>
      </c>
      <c r="M36">
        <v>0.008218</v>
      </c>
      <c r="N36">
        <v>15</v>
      </c>
      <c r="O36" s="3" t="s">
        <v>81</v>
      </c>
      <c r="P36">
        <v>15</v>
      </c>
      <c r="Q36">
        <v>0.018023</v>
      </c>
      <c r="R36" s="1">
        <v>0.011418</v>
      </c>
      <c r="T36">
        <f t="shared" si="0"/>
        <v>0</v>
      </c>
      <c r="U36" s="1">
        <f t="shared" si="1"/>
        <v>1</v>
      </c>
    </row>
    <row r="37" spans="1:21">
      <c r="A37" t="s">
        <v>99</v>
      </c>
      <c r="B37">
        <v>34</v>
      </c>
      <c r="C37">
        <v>96</v>
      </c>
      <c r="D37">
        <v>12</v>
      </c>
      <c r="E37">
        <v>53</v>
      </c>
      <c r="F37" s="3" t="s">
        <v>22</v>
      </c>
      <c r="G37">
        <v>53</v>
      </c>
      <c r="H37" s="3" t="s">
        <v>119</v>
      </c>
      <c r="I37">
        <v>53</v>
      </c>
      <c r="J37">
        <v>0.000897</v>
      </c>
      <c r="K37">
        <v>21</v>
      </c>
      <c r="L37">
        <v>0</v>
      </c>
      <c r="M37">
        <v>0.013123</v>
      </c>
      <c r="N37">
        <v>7</v>
      </c>
      <c r="O37" s="3" t="s">
        <v>44</v>
      </c>
      <c r="P37">
        <v>7</v>
      </c>
      <c r="Q37">
        <v>0.039059</v>
      </c>
      <c r="R37" s="1">
        <v>0.010362</v>
      </c>
      <c r="T37">
        <f t="shared" si="0"/>
        <v>0</v>
      </c>
      <c r="U37" s="1">
        <f t="shared" si="1"/>
        <v>1</v>
      </c>
    </row>
    <row r="38" spans="1:21">
      <c r="A38" t="s">
        <v>101</v>
      </c>
      <c r="B38">
        <v>72</v>
      </c>
      <c r="C38">
        <v>129</v>
      </c>
      <c r="D38">
        <v>12</v>
      </c>
      <c r="E38">
        <v>53</v>
      </c>
      <c r="F38" s="3" t="s">
        <v>46</v>
      </c>
      <c r="G38">
        <v>35</v>
      </c>
      <c r="H38" s="3" t="s">
        <v>179</v>
      </c>
      <c r="I38">
        <v>35</v>
      </c>
      <c r="J38">
        <v>0.002516</v>
      </c>
      <c r="K38">
        <v>7</v>
      </c>
      <c r="L38">
        <v>0</v>
      </c>
      <c r="M38">
        <v>0.004371</v>
      </c>
      <c r="N38">
        <v>7</v>
      </c>
      <c r="O38" s="3" t="s">
        <v>84</v>
      </c>
      <c r="P38">
        <v>7</v>
      </c>
      <c r="Q38">
        <v>0.017041</v>
      </c>
      <c r="R38" s="1">
        <v>0.010259</v>
      </c>
      <c r="T38">
        <f t="shared" si="0"/>
        <v>0</v>
      </c>
      <c r="U38" s="1">
        <f t="shared" si="1"/>
        <v>1</v>
      </c>
    </row>
    <row r="39" spans="1:21">
      <c r="A39" t="s">
        <v>104</v>
      </c>
      <c r="B39">
        <v>80</v>
      </c>
      <c r="C39">
        <v>226</v>
      </c>
      <c r="D39">
        <v>18</v>
      </c>
      <c r="E39">
        <v>103</v>
      </c>
      <c r="F39" s="3" t="s">
        <v>105</v>
      </c>
      <c r="G39">
        <v>80</v>
      </c>
      <c r="H39" s="3" t="s">
        <v>197</v>
      </c>
      <c r="I39">
        <v>80</v>
      </c>
      <c r="J39">
        <v>0.003074</v>
      </c>
      <c r="K39">
        <v>26</v>
      </c>
      <c r="L39">
        <v>0</v>
      </c>
      <c r="M39">
        <v>0.003873</v>
      </c>
      <c r="N39">
        <v>8</v>
      </c>
      <c r="O39" s="3" t="s">
        <v>105</v>
      </c>
      <c r="P39">
        <v>9</v>
      </c>
      <c r="Q39">
        <v>0.013739</v>
      </c>
      <c r="R39" s="1">
        <v>0.079668</v>
      </c>
      <c r="T39">
        <f t="shared" si="0"/>
        <v>1</v>
      </c>
      <c r="U39" s="1">
        <f t="shared" si="1"/>
        <v>0</v>
      </c>
    </row>
    <row r="40" spans="1:21">
      <c r="A40" t="s">
        <v>106</v>
      </c>
      <c r="B40">
        <v>34</v>
      </c>
      <c r="C40">
        <v>41</v>
      </c>
      <c r="D40">
        <v>6</v>
      </c>
      <c r="E40">
        <v>14</v>
      </c>
      <c r="F40" s="3" t="s">
        <v>107</v>
      </c>
      <c r="G40">
        <v>14</v>
      </c>
      <c r="H40" s="3" t="s">
        <v>108</v>
      </c>
      <c r="I40">
        <v>14</v>
      </c>
      <c r="J40" s="3" t="s">
        <v>57</v>
      </c>
      <c r="K40">
        <v>2</v>
      </c>
      <c r="L40">
        <v>1</v>
      </c>
      <c r="M40">
        <v>0.02401</v>
      </c>
      <c r="N40">
        <v>4</v>
      </c>
      <c r="O40" s="3" t="s">
        <v>109</v>
      </c>
      <c r="P40">
        <v>4</v>
      </c>
      <c r="Q40">
        <v>0.046272</v>
      </c>
      <c r="R40" s="1">
        <v>0.013381</v>
      </c>
      <c r="T40">
        <f t="shared" si="0"/>
        <v>0</v>
      </c>
      <c r="U40" s="1">
        <f t="shared" si="1"/>
        <v>1</v>
      </c>
    </row>
    <row r="41" spans="1:21">
      <c r="A41" t="s">
        <v>110</v>
      </c>
      <c r="B41">
        <v>31</v>
      </c>
      <c r="C41">
        <v>39</v>
      </c>
      <c r="D41">
        <v>6</v>
      </c>
      <c r="E41">
        <v>15</v>
      </c>
      <c r="F41" s="3" t="s">
        <v>111</v>
      </c>
      <c r="G41">
        <v>15</v>
      </c>
      <c r="H41" s="3" t="s">
        <v>46</v>
      </c>
      <c r="I41">
        <v>15</v>
      </c>
      <c r="J41" s="3" t="s">
        <v>51</v>
      </c>
      <c r="K41">
        <v>1</v>
      </c>
      <c r="L41">
        <v>0</v>
      </c>
      <c r="M41">
        <v>0.004525</v>
      </c>
      <c r="N41">
        <v>5</v>
      </c>
      <c r="O41" s="3" t="s">
        <v>109</v>
      </c>
      <c r="P41">
        <v>5</v>
      </c>
      <c r="Q41">
        <v>0.011924</v>
      </c>
      <c r="R41" s="1">
        <v>0.012295</v>
      </c>
      <c r="T41">
        <f t="shared" si="0"/>
        <v>1</v>
      </c>
      <c r="U41" s="1">
        <f t="shared" si="1"/>
        <v>0</v>
      </c>
    </row>
    <row r="42" spans="1:21">
      <c r="A42" t="s">
        <v>112</v>
      </c>
      <c r="B42">
        <v>135</v>
      </c>
      <c r="C42">
        <v>1078</v>
      </c>
      <c r="D42">
        <v>37</v>
      </c>
      <c r="E42">
        <v>511</v>
      </c>
      <c r="F42" s="3" t="s">
        <v>205</v>
      </c>
      <c r="G42">
        <v>486</v>
      </c>
      <c r="H42">
        <v>0.000935</v>
      </c>
      <c r="I42">
        <v>486</v>
      </c>
      <c r="J42">
        <v>0.020325</v>
      </c>
      <c r="K42">
        <v>75</v>
      </c>
      <c r="L42">
        <v>3</v>
      </c>
      <c r="M42">
        <v>0.081094</v>
      </c>
      <c r="N42">
        <v>20</v>
      </c>
      <c r="O42">
        <v>0.000103</v>
      </c>
      <c r="P42">
        <v>20</v>
      </c>
      <c r="Q42">
        <v>0.166444</v>
      </c>
      <c r="R42" s="1">
        <v>0.041688</v>
      </c>
      <c r="T42">
        <f t="shared" si="0"/>
        <v>0</v>
      </c>
      <c r="U42" s="1">
        <f t="shared" si="1"/>
        <v>1</v>
      </c>
    </row>
    <row r="43" spans="1:21">
      <c r="A43" t="s">
        <v>114</v>
      </c>
      <c r="B43">
        <v>13</v>
      </c>
      <c r="C43">
        <v>7</v>
      </c>
      <c r="D43">
        <v>1</v>
      </c>
      <c r="E43">
        <v>0</v>
      </c>
      <c r="F43" s="3" t="s">
        <v>57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3" t="s">
        <v>57</v>
      </c>
      <c r="N43">
        <v>2</v>
      </c>
      <c r="O43" s="3" t="s">
        <v>69</v>
      </c>
      <c r="P43">
        <v>2</v>
      </c>
      <c r="Q43">
        <v>0.013357</v>
      </c>
      <c r="R43" s="1">
        <v>0.005903</v>
      </c>
      <c r="T43">
        <f t="shared" si="0"/>
        <v>0</v>
      </c>
      <c r="U43" s="1">
        <f t="shared" si="1"/>
        <v>1</v>
      </c>
    </row>
    <row r="44" spans="1:21">
      <c r="A44" t="s">
        <v>115</v>
      </c>
      <c r="B44">
        <v>5</v>
      </c>
      <c r="C44">
        <v>6</v>
      </c>
      <c r="D44">
        <v>4</v>
      </c>
      <c r="E44">
        <v>5</v>
      </c>
      <c r="F44" s="3" t="s">
        <v>26</v>
      </c>
      <c r="G44">
        <v>5</v>
      </c>
      <c r="H44" s="3" t="s">
        <v>107</v>
      </c>
      <c r="I44">
        <v>5</v>
      </c>
      <c r="J44" s="3" t="s">
        <v>51</v>
      </c>
      <c r="K44">
        <v>2</v>
      </c>
      <c r="L44">
        <v>1</v>
      </c>
      <c r="M44">
        <v>0.009385</v>
      </c>
      <c r="N44">
        <v>2</v>
      </c>
      <c r="O44" s="3" t="s">
        <v>107</v>
      </c>
      <c r="P44">
        <v>2</v>
      </c>
      <c r="Q44">
        <v>0.034362</v>
      </c>
      <c r="R44" s="1">
        <v>0.01747</v>
      </c>
      <c r="T44">
        <f t="shared" si="0"/>
        <v>0</v>
      </c>
      <c r="U44" s="1">
        <f t="shared" si="1"/>
        <v>1</v>
      </c>
    </row>
    <row r="45" spans="1:21">
      <c r="A45" t="s">
        <v>117</v>
      </c>
      <c r="B45">
        <v>22</v>
      </c>
      <c r="C45">
        <v>12</v>
      </c>
      <c r="D45">
        <v>2</v>
      </c>
      <c r="E45">
        <v>1</v>
      </c>
      <c r="F45" s="3" t="s">
        <v>51</v>
      </c>
      <c r="G45">
        <v>0</v>
      </c>
      <c r="H45" s="3" t="s">
        <v>51</v>
      </c>
      <c r="I45">
        <v>0</v>
      </c>
      <c r="J45">
        <v>0</v>
      </c>
      <c r="K45">
        <v>0</v>
      </c>
      <c r="L45">
        <v>0</v>
      </c>
      <c r="M45">
        <v>0.039602</v>
      </c>
      <c r="N45">
        <v>2</v>
      </c>
      <c r="O45" s="3" t="s">
        <v>26</v>
      </c>
      <c r="P45">
        <v>2</v>
      </c>
      <c r="Q45">
        <v>0.05927</v>
      </c>
      <c r="R45" s="1">
        <v>0.005495</v>
      </c>
      <c r="T45">
        <f t="shared" si="0"/>
        <v>0</v>
      </c>
      <c r="U45" s="1">
        <f t="shared" si="1"/>
        <v>1</v>
      </c>
    </row>
    <row r="46" spans="1:21">
      <c r="A46" t="s">
        <v>118</v>
      </c>
      <c r="B46">
        <v>62</v>
      </c>
      <c r="C46">
        <v>442</v>
      </c>
      <c r="D46">
        <v>22</v>
      </c>
      <c r="E46">
        <v>207</v>
      </c>
      <c r="F46" s="3" t="s">
        <v>203</v>
      </c>
      <c r="G46">
        <v>168</v>
      </c>
      <c r="H46">
        <v>0.00025</v>
      </c>
      <c r="I46">
        <v>168</v>
      </c>
      <c r="J46">
        <v>0.011118</v>
      </c>
      <c r="K46">
        <v>15</v>
      </c>
      <c r="L46">
        <v>0</v>
      </c>
      <c r="M46">
        <v>0.007366</v>
      </c>
      <c r="N46">
        <v>16</v>
      </c>
      <c r="O46" s="3" t="s">
        <v>55</v>
      </c>
      <c r="P46">
        <v>16</v>
      </c>
      <c r="Q46">
        <v>0.029295</v>
      </c>
      <c r="R46" s="1">
        <v>0.019709</v>
      </c>
      <c r="T46">
        <f t="shared" si="0"/>
        <v>0</v>
      </c>
      <c r="U46" s="1">
        <f t="shared" si="1"/>
        <v>1</v>
      </c>
    </row>
    <row r="47" spans="1:21">
      <c r="A47" t="s">
        <v>120</v>
      </c>
      <c r="B47">
        <v>21</v>
      </c>
      <c r="C47">
        <v>23</v>
      </c>
      <c r="D47">
        <v>6</v>
      </c>
      <c r="E47">
        <v>15</v>
      </c>
      <c r="F47" s="3" t="s">
        <v>26</v>
      </c>
      <c r="G47">
        <v>15</v>
      </c>
      <c r="H47" s="3" t="s">
        <v>83</v>
      </c>
      <c r="I47">
        <v>15</v>
      </c>
      <c r="J47" s="3" t="s">
        <v>57</v>
      </c>
      <c r="K47">
        <v>1</v>
      </c>
      <c r="L47">
        <v>0</v>
      </c>
      <c r="M47">
        <v>0.006944</v>
      </c>
      <c r="N47">
        <v>5</v>
      </c>
      <c r="O47" s="3" t="s">
        <v>107</v>
      </c>
      <c r="P47">
        <v>5</v>
      </c>
      <c r="Q47">
        <v>0.0329</v>
      </c>
      <c r="R47" s="1">
        <v>0.013969</v>
      </c>
      <c r="T47">
        <f t="shared" si="0"/>
        <v>0</v>
      </c>
      <c r="U47" s="1">
        <f t="shared" si="1"/>
        <v>1</v>
      </c>
    </row>
    <row r="48" spans="1:21">
      <c r="A48" t="s">
        <v>122</v>
      </c>
      <c r="B48">
        <v>10</v>
      </c>
      <c r="C48">
        <v>5</v>
      </c>
      <c r="D48">
        <v>0</v>
      </c>
      <c r="E48">
        <v>0</v>
      </c>
      <c r="F48" s="3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3" t="s">
        <v>57</v>
      </c>
      <c r="N48">
        <v>2</v>
      </c>
      <c r="O48" s="3" t="s">
        <v>69</v>
      </c>
      <c r="P48">
        <v>2</v>
      </c>
      <c r="Q48">
        <v>0.005428</v>
      </c>
      <c r="R48" s="1">
        <v>0.010589</v>
      </c>
      <c r="T48">
        <f t="shared" si="0"/>
        <v>1</v>
      </c>
      <c r="U48" s="1">
        <f t="shared" si="1"/>
        <v>0</v>
      </c>
    </row>
    <row r="49" spans="1:21">
      <c r="A49" t="s">
        <v>123</v>
      </c>
      <c r="B49">
        <v>27</v>
      </c>
      <c r="C49">
        <v>26</v>
      </c>
      <c r="D49">
        <v>12</v>
      </c>
      <c r="E49">
        <v>16</v>
      </c>
      <c r="F49" s="3" t="s">
        <v>26</v>
      </c>
      <c r="G49">
        <v>13</v>
      </c>
      <c r="H49" s="3" t="s">
        <v>121</v>
      </c>
      <c r="I49">
        <v>10</v>
      </c>
      <c r="J49">
        <v>0.001201</v>
      </c>
      <c r="K49">
        <v>4</v>
      </c>
      <c r="L49">
        <v>1</v>
      </c>
      <c r="M49">
        <v>0.008739</v>
      </c>
      <c r="N49">
        <v>2</v>
      </c>
      <c r="O49" s="3" t="s">
        <v>116</v>
      </c>
      <c r="P49">
        <v>3</v>
      </c>
      <c r="Q49">
        <v>0.022659</v>
      </c>
      <c r="R49" s="1">
        <v>0.009059</v>
      </c>
      <c r="T49">
        <f t="shared" si="0"/>
        <v>0</v>
      </c>
      <c r="U49" s="1">
        <f t="shared" si="1"/>
        <v>1</v>
      </c>
    </row>
    <row r="50" spans="1:21">
      <c r="A50" t="s">
        <v>124</v>
      </c>
      <c r="B50">
        <v>273</v>
      </c>
      <c r="C50">
        <v>4510</v>
      </c>
      <c r="D50">
        <v>106</v>
      </c>
      <c r="E50">
        <v>3008</v>
      </c>
      <c r="F50">
        <v>0.000368</v>
      </c>
      <c r="G50">
        <v>3008</v>
      </c>
      <c r="H50">
        <v>0.012157</v>
      </c>
      <c r="I50">
        <v>3008</v>
      </c>
      <c r="J50">
        <v>1.08254</v>
      </c>
      <c r="K50">
        <v>1426</v>
      </c>
      <c r="L50">
        <v>6</v>
      </c>
      <c r="M50">
        <v>0.372082</v>
      </c>
      <c r="N50">
        <v>28</v>
      </c>
      <c r="O50">
        <v>0.000612</v>
      </c>
      <c r="P50">
        <v>35</v>
      </c>
      <c r="Q50">
        <v>1.49628</v>
      </c>
      <c r="R50" s="1">
        <v>1.1712</v>
      </c>
      <c r="T50">
        <f t="shared" si="0"/>
        <v>0</v>
      </c>
      <c r="U50" s="1">
        <f t="shared" si="1"/>
        <v>1</v>
      </c>
    </row>
    <row r="51" spans="1:21">
      <c r="A51" t="s">
        <v>125</v>
      </c>
      <c r="B51">
        <v>102</v>
      </c>
      <c r="C51">
        <v>108</v>
      </c>
      <c r="D51">
        <v>11</v>
      </c>
      <c r="E51">
        <v>33</v>
      </c>
      <c r="F51" s="3" t="s">
        <v>121</v>
      </c>
      <c r="G51">
        <v>33</v>
      </c>
      <c r="H51" s="3" t="s">
        <v>105</v>
      </c>
      <c r="I51">
        <v>33</v>
      </c>
      <c r="J51">
        <v>0.001337</v>
      </c>
      <c r="K51">
        <v>8</v>
      </c>
      <c r="L51">
        <v>0</v>
      </c>
      <c r="M51">
        <v>0.004738</v>
      </c>
      <c r="N51">
        <v>4</v>
      </c>
      <c r="O51" s="3" t="s">
        <v>126</v>
      </c>
      <c r="P51">
        <v>5</v>
      </c>
      <c r="Q51">
        <v>0.018241</v>
      </c>
      <c r="R51" s="1">
        <v>0.013521</v>
      </c>
      <c r="T51">
        <f t="shared" si="0"/>
        <v>0</v>
      </c>
      <c r="U51" s="1">
        <f t="shared" si="1"/>
        <v>1</v>
      </c>
    </row>
    <row r="52" spans="1:21">
      <c r="A52" t="s">
        <v>127</v>
      </c>
      <c r="B52">
        <v>8</v>
      </c>
      <c r="C52">
        <v>4</v>
      </c>
      <c r="D52">
        <v>0</v>
      </c>
      <c r="E52">
        <v>0</v>
      </c>
      <c r="F52" s="3" t="s">
        <v>57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3" t="s">
        <v>69</v>
      </c>
      <c r="N52">
        <v>2</v>
      </c>
      <c r="O52" s="3" t="s">
        <v>69</v>
      </c>
      <c r="P52">
        <v>2</v>
      </c>
      <c r="Q52">
        <v>0.007615</v>
      </c>
      <c r="R52" s="1">
        <v>0.004627</v>
      </c>
      <c r="T52">
        <f t="shared" si="0"/>
        <v>0</v>
      </c>
      <c r="U52" s="1">
        <f t="shared" si="1"/>
        <v>1</v>
      </c>
    </row>
    <row r="53" spans="1:21">
      <c r="A53" t="s">
        <v>128</v>
      </c>
      <c r="B53">
        <v>55</v>
      </c>
      <c r="C53">
        <v>60</v>
      </c>
      <c r="D53">
        <v>8</v>
      </c>
      <c r="E53">
        <v>20</v>
      </c>
      <c r="F53" s="3" t="s">
        <v>46</v>
      </c>
      <c r="G53">
        <v>10</v>
      </c>
      <c r="H53" s="3" t="s">
        <v>126</v>
      </c>
      <c r="I53">
        <v>10</v>
      </c>
      <c r="J53">
        <v>0.001343</v>
      </c>
      <c r="K53">
        <v>4</v>
      </c>
      <c r="L53">
        <v>0</v>
      </c>
      <c r="M53">
        <v>0.003475</v>
      </c>
      <c r="N53">
        <v>4</v>
      </c>
      <c r="O53" s="3" t="s">
        <v>56</v>
      </c>
      <c r="P53">
        <v>4</v>
      </c>
      <c r="Q53">
        <v>0.010855</v>
      </c>
      <c r="R53" s="1">
        <v>0.010118</v>
      </c>
      <c r="T53">
        <f t="shared" si="0"/>
        <v>0</v>
      </c>
      <c r="U53" s="1">
        <f t="shared" si="1"/>
        <v>1</v>
      </c>
    </row>
    <row r="54" spans="1:21">
      <c r="A54" t="s">
        <v>129</v>
      </c>
      <c r="B54">
        <v>127</v>
      </c>
      <c r="C54">
        <v>931</v>
      </c>
      <c r="D54">
        <v>42</v>
      </c>
      <c r="E54">
        <v>509</v>
      </c>
      <c r="F54" s="3" t="s">
        <v>197</v>
      </c>
      <c r="G54">
        <v>504</v>
      </c>
      <c r="H54">
        <v>0.000891</v>
      </c>
      <c r="I54">
        <v>504</v>
      </c>
      <c r="J54">
        <v>0.034001</v>
      </c>
      <c r="K54">
        <v>114</v>
      </c>
      <c r="L54">
        <v>3</v>
      </c>
      <c r="M54">
        <v>0.016193</v>
      </c>
      <c r="N54">
        <v>15</v>
      </c>
      <c r="O54" s="3" t="s">
        <v>52</v>
      </c>
      <c r="P54">
        <v>16</v>
      </c>
      <c r="Q54">
        <v>0.060144</v>
      </c>
      <c r="R54" s="1">
        <v>0.048236</v>
      </c>
      <c r="T54">
        <f t="shared" si="0"/>
        <v>0</v>
      </c>
      <c r="U54" s="1">
        <f t="shared" si="1"/>
        <v>1</v>
      </c>
    </row>
    <row r="55" spans="1:21">
      <c r="A55" t="s">
        <v>131</v>
      </c>
      <c r="B55">
        <v>16</v>
      </c>
      <c r="C55">
        <v>13</v>
      </c>
      <c r="D55">
        <v>5</v>
      </c>
      <c r="E55">
        <v>5</v>
      </c>
      <c r="F55" s="3" t="s">
        <v>69</v>
      </c>
      <c r="G55">
        <v>5</v>
      </c>
      <c r="H55" s="3" t="s">
        <v>116</v>
      </c>
      <c r="I55">
        <v>5</v>
      </c>
      <c r="J55" s="3" t="s">
        <v>57</v>
      </c>
      <c r="K55">
        <v>2</v>
      </c>
      <c r="L55">
        <v>1</v>
      </c>
      <c r="M55">
        <v>0.006327</v>
      </c>
      <c r="N55">
        <v>2</v>
      </c>
      <c r="O55" s="3" t="s">
        <v>26</v>
      </c>
      <c r="P55">
        <v>2</v>
      </c>
      <c r="Q55">
        <v>0.014447</v>
      </c>
      <c r="R55" s="1">
        <v>0.022265</v>
      </c>
      <c r="T55">
        <f t="shared" si="0"/>
        <v>1</v>
      </c>
      <c r="U55" s="1">
        <f t="shared" si="1"/>
        <v>0</v>
      </c>
    </row>
    <row r="56" spans="1:21">
      <c r="A56" t="s">
        <v>132</v>
      </c>
      <c r="B56">
        <v>35</v>
      </c>
      <c r="C56">
        <v>368</v>
      </c>
      <c r="D56">
        <v>27</v>
      </c>
      <c r="E56">
        <v>351</v>
      </c>
      <c r="F56" s="3" t="s">
        <v>50</v>
      </c>
      <c r="G56">
        <v>351</v>
      </c>
      <c r="H56">
        <v>0.000484</v>
      </c>
      <c r="I56">
        <v>351</v>
      </c>
      <c r="J56" s="3" t="s">
        <v>111</v>
      </c>
      <c r="K56">
        <v>1</v>
      </c>
      <c r="L56">
        <v>0</v>
      </c>
      <c r="M56">
        <v>0.01319</v>
      </c>
      <c r="N56">
        <v>26</v>
      </c>
      <c r="O56" s="3" t="s">
        <v>133</v>
      </c>
      <c r="P56">
        <v>26</v>
      </c>
      <c r="Q56">
        <v>0.028215</v>
      </c>
      <c r="R56" s="1">
        <v>0.014426</v>
      </c>
      <c r="T56">
        <f t="shared" si="0"/>
        <v>0</v>
      </c>
      <c r="U56" s="1">
        <f t="shared" si="1"/>
        <v>1</v>
      </c>
    </row>
    <row r="57" spans="1:21">
      <c r="A57" t="s">
        <v>134</v>
      </c>
      <c r="B57">
        <v>26</v>
      </c>
      <c r="C57">
        <v>15</v>
      </c>
      <c r="D57">
        <v>3</v>
      </c>
      <c r="E57">
        <v>1</v>
      </c>
      <c r="F57" s="3" t="s">
        <v>116</v>
      </c>
      <c r="G57">
        <v>0</v>
      </c>
      <c r="H57" s="3" t="s">
        <v>26</v>
      </c>
      <c r="I57">
        <v>0</v>
      </c>
      <c r="J57" s="3" t="s">
        <v>57</v>
      </c>
      <c r="K57">
        <v>0</v>
      </c>
      <c r="L57">
        <v>0</v>
      </c>
      <c r="M57">
        <v>0.005148</v>
      </c>
      <c r="N57">
        <v>2</v>
      </c>
      <c r="O57" s="3" t="s">
        <v>83</v>
      </c>
      <c r="P57">
        <v>2</v>
      </c>
      <c r="Q57">
        <v>0.016235</v>
      </c>
      <c r="R57" s="1">
        <v>0.014009</v>
      </c>
      <c r="T57">
        <f t="shared" si="0"/>
        <v>0</v>
      </c>
      <c r="U57" s="1">
        <f t="shared" si="1"/>
        <v>1</v>
      </c>
    </row>
    <row r="58" spans="1:21">
      <c r="A58" t="s">
        <v>135</v>
      </c>
      <c r="B58">
        <v>14</v>
      </c>
      <c r="C58">
        <v>11</v>
      </c>
      <c r="D58">
        <v>5</v>
      </c>
      <c r="E58">
        <v>3</v>
      </c>
      <c r="F58" s="3" t="s">
        <v>51</v>
      </c>
      <c r="G58">
        <v>3</v>
      </c>
      <c r="H58" s="3" t="s">
        <v>69</v>
      </c>
      <c r="I58">
        <v>3</v>
      </c>
      <c r="J58" s="3" t="s">
        <v>57</v>
      </c>
      <c r="K58">
        <v>1</v>
      </c>
      <c r="L58">
        <v>0</v>
      </c>
      <c r="M58">
        <v>0.003959</v>
      </c>
      <c r="N58">
        <v>2</v>
      </c>
      <c r="O58" s="3" t="s">
        <v>26</v>
      </c>
      <c r="P58">
        <v>2</v>
      </c>
      <c r="Q58">
        <v>0.009713</v>
      </c>
      <c r="R58" s="1">
        <v>0.010476</v>
      </c>
      <c r="T58">
        <f t="shared" si="0"/>
        <v>1</v>
      </c>
      <c r="U58" s="1">
        <f t="shared" si="1"/>
        <v>0</v>
      </c>
    </row>
    <row r="59" spans="1:21">
      <c r="A59" t="s">
        <v>136</v>
      </c>
      <c r="B59">
        <v>28</v>
      </c>
      <c r="C59">
        <v>91</v>
      </c>
      <c r="D59">
        <v>12</v>
      </c>
      <c r="E59">
        <v>55</v>
      </c>
      <c r="F59" s="3" t="s">
        <v>46</v>
      </c>
      <c r="G59">
        <v>55</v>
      </c>
      <c r="H59" s="3" t="s">
        <v>208</v>
      </c>
      <c r="I59">
        <v>55</v>
      </c>
      <c r="J59">
        <v>0.001139</v>
      </c>
      <c r="K59">
        <v>21</v>
      </c>
      <c r="L59">
        <v>0</v>
      </c>
      <c r="M59">
        <v>0.007115</v>
      </c>
      <c r="N59">
        <v>7</v>
      </c>
      <c r="O59" s="3" t="s">
        <v>46</v>
      </c>
      <c r="P59">
        <v>7</v>
      </c>
      <c r="Q59">
        <v>0.016461</v>
      </c>
      <c r="R59" s="1">
        <v>0.00804</v>
      </c>
      <c r="T59">
        <f t="shared" si="0"/>
        <v>0</v>
      </c>
      <c r="U59" s="1">
        <f t="shared" si="1"/>
        <v>1</v>
      </c>
    </row>
    <row r="60" spans="1:21">
      <c r="A60" t="s">
        <v>138</v>
      </c>
      <c r="B60">
        <v>26</v>
      </c>
      <c r="C60">
        <v>18</v>
      </c>
      <c r="D60">
        <v>6</v>
      </c>
      <c r="E60">
        <v>6</v>
      </c>
      <c r="F60" s="3" t="s">
        <v>116</v>
      </c>
      <c r="G60">
        <v>5</v>
      </c>
      <c r="H60" s="3" t="s">
        <v>111</v>
      </c>
      <c r="I60">
        <v>4</v>
      </c>
      <c r="J60">
        <v>0.001265</v>
      </c>
      <c r="K60">
        <v>1</v>
      </c>
      <c r="L60">
        <v>0</v>
      </c>
      <c r="M60">
        <v>0.016931</v>
      </c>
      <c r="N60">
        <v>2</v>
      </c>
      <c r="O60" s="3" t="s">
        <v>83</v>
      </c>
      <c r="P60">
        <v>2</v>
      </c>
      <c r="Q60">
        <v>0.029541</v>
      </c>
      <c r="R60" s="1">
        <v>0.009031</v>
      </c>
      <c r="T60">
        <f t="shared" si="0"/>
        <v>0</v>
      </c>
      <c r="U60" s="1">
        <f t="shared" si="1"/>
        <v>1</v>
      </c>
    </row>
    <row r="61" spans="1:21">
      <c r="A61" t="s">
        <v>139</v>
      </c>
      <c r="B61">
        <v>13</v>
      </c>
      <c r="C61">
        <v>8</v>
      </c>
      <c r="D61">
        <v>2</v>
      </c>
      <c r="E61">
        <v>1</v>
      </c>
      <c r="F61" s="3" t="s">
        <v>51</v>
      </c>
      <c r="G61">
        <v>0</v>
      </c>
      <c r="H61" s="3" t="s">
        <v>51</v>
      </c>
      <c r="I61">
        <v>0</v>
      </c>
      <c r="J61">
        <v>0</v>
      </c>
      <c r="K61">
        <v>0</v>
      </c>
      <c r="L61">
        <v>0</v>
      </c>
      <c r="M61">
        <v>0.002718</v>
      </c>
      <c r="N61">
        <v>2</v>
      </c>
      <c r="O61" s="3" t="s">
        <v>69</v>
      </c>
      <c r="P61">
        <v>2</v>
      </c>
      <c r="Q61">
        <v>0.007933</v>
      </c>
      <c r="R61" s="1">
        <v>0.005796</v>
      </c>
      <c r="T61">
        <f t="shared" si="0"/>
        <v>0</v>
      </c>
      <c r="U61" s="1">
        <f t="shared" si="1"/>
        <v>1</v>
      </c>
    </row>
    <row r="62" spans="1:21">
      <c r="A62" t="s">
        <v>140</v>
      </c>
      <c r="B62">
        <v>18</v>
      </c>
      <c r="C62">
        <v>12</v>
      </c>
      <c r="D62">
        <v>5</v>
      </c>
      <c r="E62">
        <v>3</v>
      </c>
      <c r="F62" s="3" t="s">
        <v>69</v>
      </c>
      <c r="G62">
        <v>3</v>
      </c>
      <c r="H62" s="3" t="s">
        <v>69</v>
      </c>
      <c r="I62">
        <v>3</v>
      </c>
      <c r="J62" s="3" t="s">
        <v>57</v>
      </c>
      <c r="K62">
        <v>1</v>
      </c>
      <c r="L62">
        <v>0</v>
      </c>
      <c r="M62">
        <v>0.00428</v>
      </c>
      <c r="N62">
        <v>2</v>
      </c>
      <c r="O62" s="3" t="s">
        <v>69</v>
      </c>
      <c r="P62">
        <v>2</v>
      </c>
      <c r="Q62">
        <v>0.013062</v>
      </c>
      <c r="R62" s="1">
        <v>0.014331</v>
      </c>
      <c r="T62">
        <f t="shared" si="0"/>
        <v>1</v>
      </c>
      <c r="U62" s="1">
        <f t="shared" si="1"/>
        <v>0</v>
      </c>
    </row>
    <row r="63" spans="1:21">
      <c r="A63" t="s">
        <v>141</v>
      </c>
      <c r="B63">
        <v>7</v>
      </c>
      <c r="C63">
        <v>5</v>
      </c>
      <c r="D63">
        <v>3</v>
      </c>
      <c r="E63">
        <v>3</v>
      </c>
      <c r="F63" s="3" t="s">
        <v>51</v>
      </c>
      <c r="G63">
        <v>3</v>
      </c>
      <c r="H63" s="3" t="s">
        <v>69</v>
      </c>
      <c r="I63">
        <v>3</v>
      </c>
      <c r="J63" s="3" t="s">
        <v>57</v>
      </c>
      <c r="K63">
        <v>1</v>
      </c>
      <c r="L63">
        <v>0</v>
      </c>
      <c r="M63">
        <v>0.004597</v>
      </c>
      <c r="N63">
        <v>2</v>
      </c>
      <c r="O63" s="3" t="s">
        <v>69</v>
      </c>
      <c r="P63">
        <v>2</v>
      </c>
      <c r="Q63">
        <v>0.015935</v>
      </c>
      <c r="R63" s="1">
        <v>0.016298</v>
      </c>
      <c r="T63">
        <f t="shared" si="0"/>
        <v>1</v>
      </c>
      <c r="U63" s="1">
        <f t="shared" si="1"/>
        <v>0</v>
      </c>
    </row>
    <row r="64" spans="1:21">
      <c r="A64" t="s">
        <v>142</v>
      </c>
      <c r="B64">
        <v>2623</v>
      </c>
      <c r="C64">
        <v>473614</v>
      </c>
      <c r="D64">
        <v>1314</v>
      </c>
      <c r="E64">
        <v>458051</v>
      </c>
      <c r="F64">
        <v>0.101688</v>
      </c>
      <c r="G64">
        <v>-1</v>
      </c>
      <c r="H64">
        <v>67.5459</v>
      </c>
      <c r="I64">
        <v>-1</v>
      </c>
      <c r="J64">
        <v>-1</v>
      </c>
      <c r="K64">
        <v>0</v>
      </c>
      <c r="L64">
        <v>0</v>
      </c>
      <c r="M64">
        <v>-1</v>
      </c>
      <c r="N64">
        <v>137</v>
      </c>
      <c r="O64">
        <v>1.3163</v>
      </c>
      <c r="P64">
        <v>137</v>
      </c>
      <c r="Q64">
        <v>600</v>
      </c>
      <c r="R64" s="1">
        <v>600</v>
      </c>
      <c r="T64">
        <f t="shared" si="0"/>
        <v>0</v>
      </c>
      <c r="U64" s="1">
        <f t="shared" si="1"/>
        <v>0</v>
      </c>
    </row>
    <row r="65" spans="1:21">
      <c r="A65" t="s">
        <v>143</v>
      </c>
      <c r="B65">
        <v>56739</v>
      </c>
      <c r="C65">
        <v>212945</v>
      </c>
      <c r="D65">
        <v>10374</v>
      </c>
      <c r="E65">
        <v>118306</v>
      </c>
      <c r="F65">
        <v>0.025114</v>
      </c>
      <c r="G65">
        <v>47821</v>
      </c>
      <c r="H65">
        <v>0.231666</v>
      </c>
      <c r="I65">
        <v>47641</v>
      </c>
      <c r="J65">
        <v>0.423274</v>
      </c>
      <c r="K65">
        <v>595</v>
      </c>
      <c r="L65">
        <v>0</v>
      </c>
      <c r="M65">
        <v>-1</v>
      </c>
      <c r="N65">
        <v>7</v>
      </c>
      <c r="O65">
        <v>0.022916</v>
      </c>
      <c r="P65">
        <v>7</v>
      </c>
      <c r="Q65">
        <v>600</v>
      </c>
      <c r="R65" s="1">
        <v>600</v>
      </c>
      <c r="T65">
        <f t="shared" si="0"/>
        <v>0</v>
      </c>
      <c r="U65" s="1">
        <f t="shared" si="1"/>
        <v>0</v>
      </c>
    </row>
    <row r="66" spans="1:21">
      <c r="A66" t="s">
        <v>144</v>
      </c>
      <c r="B66">
        <v>62</v>
      </c>
      <c r="C66">
        <v>159</v>
      </c>
      <c r="D66">
        <v>31</v>
      </c>
      <c r="E66">
        <v>90</v>
      </c>
      <c r="F66" s="3" t="s">
        <v>209</v>
      </c>
      <c r="G66">
        <v>0</v>
      </c>
      <c r="H66" s="3" t="s">
        <v>189</v>
      </c>
      <c r="I66">
        <v>0</v>
      </c>
      <c r="J66" s="3" t="s">
        <v>57</v>
      </c>
      <c r="K66">
        <v>0</v>
      </c>
      <c r="L66">
        <v>0</v>
      </c>
      <c r="M66">
        <v>0.009454</v>
      </c>
      <c r="N66">
        <v>5</v>
      </c>
      <c r="O66" s="3" t="s">
        <v>209</v>
      </c>
      <c r="P66">
        <v>5</v>
      </c>
      <c r="Q66">
        <v>0.019235</v>
      </c>
      <c r="R66" s="1">
        <v>0.007383</v>
      </c>
      <c r="T66">
        <f t="shared" ref="T66:T96" si="2">IF(Q66&lt;R66,1,0)</f>
        <v>0</v>
      </c>
      <c r="U66" s="1">
        <f t="shared" ref="U66:U96" si="3">IF(R66&lt;Q66,1,0)</f>
        <v>1</v>
      </c>
    </row>
    <row r="67" spans="1:21">
      <c r="A67" t="s">
        <v>145</v>
      </c>
      <c r="B67">
        <v>154908</v>
      </c>
      <c r="C67">
        <v>327162</v>
      </c>
      <c r="D67">
        <v>29489</v>
      </c>
      <c r="E67">
        <v>179659</v>
      </c>
      <c r="F67">
        <v>0.057219</v>
      </c>
      <c r="G67">
        <v>23461</v>
      </c>
      <c r="H67">
        <v>0.178578</v>
      </c>
      <c r="I67">
        <v>23106</v>
      </c>
      <c r="J67">
        <v>0.131407</v>
      </c>
      <c r="K67">
        <v>1645</v>
      </c>
      <c r="L67">
        <v>384</v>
      </c>
      <c r="M67">
        <v>-1</v>
      </c>
      <c r="N67">
        <v>3</v>
      </c>
      <c r="O67">
        <v>0.053636</v>
      </c>
      <c r="P67">
        <v>3</v>
      </c>
      <c r="Q67">
        <v>600</v>
      </c>
      <c r="R67" s="1">
        <v>600</v>
      </c>
      <c r="T67">
        <f t="shared" si="2"/>
        <v>0</v>
      </c>
      <c r="U67" s="1">
        <f t="shared" si="3"/>
        <v>0</v>
      </c>
    </row>
    <row r="68" spans="1:21">
      <c r="A68" t="s">
        <v>146</v>
      </c>
      <c r="B68">
        <v>26588</v>
      </c>
      <c r="C68">
        <v>100120</v>
      </c>
      <c r="D68">
        <v>5212</v>
      </c>
      <c r="E68">
        <v>64043</v>
      </c>
      <c r="F68">
        <v>0.016772</v>
      </c>
      <c r="G68">
        <v>25100</v>
      </c>
      <c r="H68">
        <v>0.167951</v>
      </c>
      <c r="I68">
        <v>24823</v>
      </c>
      <c r="J68">
        <v>0.851899</v>
      </c>
      <c r="K68">
        <v>761</v>
      </c>
      <c r="L68">
        <v>0</v>
      </c>
      <c r="M68">
        <v>-1</v>
      </c>
      <c r="N68">
        <v>6</v>
      </c>
      <c r="O68">
        <v>0.015437</v>
      </c>
      <c r="P68">
        <v>6</v>
      </c>
      <c r="Q68">
        <v>600</v>
      </c>
      <c r="R68" s="1">
        <v>600</v>
      </c>
      <c r="T68">
        <f t="shared" si="2"/>
        <v>0</v>
      </c>
      <c r="U68" s="1">
        <f t="shared" si="3"/>
        <v>0</v>
      </c>
    </row>
    <row r="69" spans="1:21">
      <c r="A69" t="s">
        <v>147</v>
      </c>
      <c r="B69">
        <v>22900</v>
      </c>
      <c r="C69">
        <v>852419</v>
      </c>
      <c r="D69">
        <v>19364</v>
      </c>
      <c r="E69">
        <v>834920</v>
      </c>
      <c r="F69">
        <v>0.17266</v>
      </c>
      <c r="G69">
        <v>444557</v>
      </c>
      <c r="H69">
        <v>8.80505</v>
      </c>
      <c r="I69">
        <v>444274</v>
      </c>
      <c r="J69">
        <v>0.737996</v>
      </c>
      <c r="K69">
        <v>500</v>
      </c>
      <c r="L69">
        <v>0</v>
      </c>
      <c r="M69">
        <v>-1</v>
      </c>
      <c r="N69">
        <v>12</v>
      </c>
      <c r="O69">
        <v>0.188878</v>
      </c>
      <c r="P69">
        <v>12</v>
      </c>
      <c r="Q69">
        <v>600</v>
      </c>
      <c r="R69" s="1">
        <v>600</v>
      </c>
      <c r="T69">
        <f t="shared" si="2"/>
        <v>0</v>
      </c>
      <c r="U69" s="1">
        <f t="shared" si="3"/>
        <v>0</v>
      </c>
    </row>
    <row r="70" spans="1:21">
      <c r="A70" t="s">
        <v>148</v>
      </c>
      <c r="B70">
        <v>6621</v>
      </c>
      <c r="C70">
        <v>249959</v>
      </c>
      <c r="D70">
        <v>5486</v>
      </c>
      <c r="E70">
        <v>243848</v>
      </c>
      <c r="F70">
        <v>0.043508</v>
      </c>
      <c r="G70">
        <v>165743</v>
      </c>
      <c r="H70">
        <v>1.60482</v>
      </c>
      <c r="I70">
        <v>165462</v>
      </c>
      <c r="J70">
        <v>0.475103</v>
      </c>
      <c r="K70">
        <v>413</v>
      </c>
      <c r="L70">
        <v>0</v>
      </c>
      <c r="M70">
        <v>-1</v>
      </c>
      <c r="N70">
        <v>13</v>
      </c>
      <c r="O70">
        <v>0.048532</v>
      </c>
      <c r="P70">
        <v>13</v>
      </c>
      <c r="Q70">
        <v>600</v>
      </c>
      <c r="R70" s="1">
        <v>600</v>
      </c>
      <c r="T70">
        <f t="shared" si="2"/>
        <v>0</v>
      </c>
      <c r="U70" s="1">
        <f t="shared" si="3"/>
        <v>0</v>
      </c>
    </row>
    <row r="71" spans="1:21">
      <c r="A71" t="s">
        <v>149</v>
      </c>
      <c r="B71">
        <v>9885</v>
      </c>
      <c r="C71">
        <v>506437</v>
      </c>
      <c r="D71">
        <v>8666</v>
      </c>
      <c r="E71">
        <v>501331</v>
      </c>
      <c r="F71">
        <v>0.09734</v>
      </c>
      <c r="G71">
        <v>397241</v>
      </c>
      <c r="H71">
        <v>4.28767</v>
      </c>
      <c r="I71">
        <v>396989</v>
      </c>
      <c r="J71">
        <v>0.47023</v>
      </c>
      <c r="K71">
        <v>457</v>
      </c>
      <c r="L71">
        <v>0</v>
      </c>
      <c r="M71">
        <v>-1</v>
      </c>
      <c r="N71">
        <v>11</v>
      </c>
      <c r="O71">
        <v>0.105551</v>
      </c>
      <c r="P71">
        <v>11</v>
      </c>
      <c r="Q71">
        <v>600</v>
      </c>
      <c r="R71" s="1">
        <v>600</v>
      </c>
      <c r="T71">
        <f t="shared" si="2"/>
        <v>0</v>
      </c>
      <c r="U71" s="1">
        <f t="shared" si="3"/>
        <v>0</v>
      </c>
    </row>
    <row r="72" spans="1:21">
      <c r="A72" t="s">
        <v>150</v>
      </c>
      <c r="B72">
        <v>6402</v>
      </c>
      <c r="C72">
        <v>251230</v>
      </c>
      <c r="D72">
        <v>5133</v>
      </c>
      <c r="E72">
        <v>245074</v>
      </c>
      <c r="F72">
        <v>0.044609</v>
      </c>
      <c r="G72">
        <v>171592</v>
      </c>
      <c r="H72">
        <v>1.69037</v>
      </c>
      <c r="I72">
        <v>171322</v>
      </c>
      <c r="J72">
        <v>0.414581</v>
      </c>
      <c r="K72">
        <v>415</v>
      </c>
      <c r="L72">
        <v>0</v>
      </c>
      <c r="M72">
        <v>-1</v>
      </c>
      <c r="N72">
        <v>13</v>
      </c>
      <c r="O72">
        <v>0.0456</v>
      </c>
      <c r="P72">
        <v>13</v>
      </c>
      <c r="Q72">
        <v>600</v>
      </c>
      <c r="R72" s="1">
        <v>600</v>
      </c>
      <c r="T72">
        <f t="shared" si="2"/>
        <v>0</v>
      </c>
      <c r="U72" s="1">
        <f t="shared" si="3"/>
        <v>0</v>
      </c>
    </row>
    <row r="73" spans="1:21">
      <c r="A73" t="s">
        <v>151</v>
      </c>
      <c r="B73">
        <v>63392</v>
      </c>
      <c r="C73">
        <v>816886</v>
      </c>
      <c r="D73">
        <v>31909</v>
      </c>
      <c r="E73">
        <v>713333</v>
      </c>
      <c r="F73">
        <v>0.139663</v>
      </c>
      <c r="G73">
        <v>368297</v>
      </c>
      <c r="H73">
        <v>2.41255</v>
      </c>
      <c r="I73">
        <v>368029</v>
      </c>
      <c r="J73">
        <v>0.275815</v>
      </c>
      <c r="K73">
        <v>467</v>
      </c>
      <c r="L73">
        <v>0</v>
      </c>
      <c r="M73">
        <v>-1</v>
      </c>
      <c r="N73">
        <v>9</v>
      </c>
      <c r="O73">
        <v>0.12418</v>
      </c>
      <c r="P73">
        <v>9</v>
      </c>
      <c r="Q73">
        <v>600</v>
      </c>
      <c r="R73" s="1">
        <v>600</v>
      </c>
      <c r="T73">
        <f t="shared" si="2"/>
        <v>0</v>
      </c>
      <c r="U73" s="1">
        <f t="shared" si="3"/>
        <v>0</v>
      </c>
    </row>
    <row r="74" spans="1:21">
      <c r="A74" t="s">
        <v>152</v>
      </c>
      <c r="B74">
        <v>11586</v>
      </c>
      <c r="C74">
        <v>568309</v>
      </c>
      <c r="D74">
        <v>9118</v>
      </c>
      <c r="E74">
        <v>556067</v>
      </c>
      <c r="F74">
        <v>0.102325</v>
      </c>
      <c r="G74">
        <v>409128</v>
      </c>
      <c r="H74">
        <v>4.765</v>
      </c>
      <c r="I74">
        <v>408851</v>
      </c>
      <c r="J74">
        <v>0.500594</v>
      </c>
      <c r="K74">
        <v>476</v>
      </c>
      <c r="L74">
        <v>0</v>
      </c>
      <c r="M74">
        <v>-1</v>
      </c>
      <c r="N74">
        <v>13</v>
      </c>
      <c r="O74">
        <v>0.122023</v>
      </c>
      <c r="P74">
        <v>13</v>
      </c>
      <c r="Q74">
        <v>600</v>
      </c>
      <c r="R74" s="1">
        <v>600</v>
      </c>
      <c r="T74">
        <f t="shared" si="2"/>
        <v>0</v>
      </c>
      <c r="U74" s="1">
        <f t="shared" si="3"/>
        <v>0</v>
      </c>
    </row>
    <row r="75" spans="1:21">
      <c r="A75" t="s">
        <v>153</v>
      </c>
      <c r="B75">
        <v>20453</v>
      </c>
      <c r="C75">
        <v>747604</v>
      </c>
      <c r="D75">
        <v>16333</v>
      </c>
      <c r="E75">
        <v>724548</v>
      </c>
      <c r="F75">
        <v>0.12823</v>
      </c>
      <c r="G75">
        <v>388018</v>
      </c>
      <c r="H75">
        <v>5.1171</v>
      </c>
      <c r="I75">
        <v>387739</v>
      </c>
      <c r="J75">
        <v>0.49473</v>
      </c>
      <c r="K75">
        <v>502</v>
      </c>
      <c r="L75">
        <v>0</v>
      </c>
      <c r="M75">
        <v>-1</v>
      </c>
      <c r="N75">
        <v>13</v>
      </c>
      <c r="O75">
        <v>0.133531</v>
      </c>
      <c r="P75">
        <v>13</v>
      </c>
      <c r="Q75">
        <v>600</v>
      </c>
      <c r="R75" s="1">
        <v>600</v>
      </c>
      <c r="T75">
        <f t="shared" si="2"/>
        <v>0</v>
      </c>
      <c r="U75" s="1">
        <f t="shared" si="3"/>
        <v>0</v>
      </c>
    </row>
    <row r="76" spans="1:21">
      <c r="A76" t="s">
        <v>154</v>
      </c>
      <c r="B76">
        <v>17206</v>
      </c>
      <c r="C76">
        <v>604867</v>
      </c>
      <c r="D76">
        <v>15068</v>
      </c>
      <c r="E76">
        <v>593588</v>
      </c>
      <c r="F76">
        <v>0.168757</v>
      </c>
      <c r="G76">
        <v>273154</v>
      </c>
      <c r="H76">
        <v>4.77886</v>
      </c>
      <c r="I76">
        <v>272837</v>
      </c>
      <c r="J76">
        <v>0.521613</v>
      </c>
      <c r="K76">
        <v>450</v>
      </c>
      <c r="L76">
        <v>0</v>
      </c>
      <c r="M76">
        <v>-1</v>
      </c>
      <c r="N76">
        <v>12</v>
      </c>
      <c r="O76">
        <v>0.182289</v>
      </c>
      <c r="P76">
        <v>12</v>
      </c>
      <c r="Q76">
        <v>600</v>
      </c>
      <c r="R76" s="1">
        <v>600</v>
      </c>
      <c r="T76">
        <f t="shared" si="2"/>
        <v>0</v>
      </c>
      <c r="U76" s="1">
        <f t="shared" si="3"/>
        <v>0</v>
      </c>
    </row>
    <row r="77" spans="1:21">
      <c r="A77" t="s">
        <v>155</v>
      </c>
      <c r="B77">
        <v>14917</v>
      </c>
      <c r="C77">
        <v>482215</v>
      </c>
      <c r="D77">
        <v>11996</v>
      </c>
      <c r="E77">
        <v>464029</v>
      </c>
      <c r="F77">
        <v>0.088738</v>
      </c>
      <c r="G77">
        <v>212059</v>
      </c>
      <c r="H77">
        <v>2.76342</v>
      </c>
      <c r="I77">
        <v>211746</v>
      </c>
      <c r="J77">
        <v>0.826207</v>
      </c>
      <c r="K77">
        <v>444</v>
      </c>
      <c r="L77">
        <v>0</v>
      </c>
      <c r="M77">
        <v>-1</v>
      </c>
      <c r="N77">
        <v>14</v>
      </c>
      <c r="O77">
        <v>0.084098</v>
      </c>
      <c r="P77">
        <v>14</v>
      </c>
      <c r="Q77">
        <v>600</v>
      </c>
      <c r="R77" s="1">
        <v>600</v>
      </c>
      <c r="T77">
        <f t="shared" si="2"/>
        <v>0</v>
      </c>
      <c r="U77" s="1">
        <f t="shared" si="3"/>
        <v>0</v>
      </c>
    </row>
    <row r="78" spans="1:21">
      <c r="A78" t="s">
        <v>156</v>
      </c>
      <c r="B78">
        <v>23831</v>
      </c>
      <c r="C78">
        <v>835946</v>
      </c>
      <c r="D78">
        <v>20952</v>
      </c>
      <c r="E78">
        <v>821875</v>
      </c>
      <c r="F78">
        <v>0.186713</v>
      </c>
      <c r="G78">
        <v>442147</v>
      </c>
      <c r="H78">
        <v>5.5769</v>
      </c>
      <c r="I78">
        <v>441865</v>
      </c>
      <c r="J78">
        <v>0.406546</v>
      </c>
      <c r="K78">
        <v>474</v>
      </c>
      <c r="L78">
        <v>0</v>
      </c>
      <c r="M78">
        <v>-1</v>
      </c>
      <c r="N78">
        <v>11</v>
      </c>
      <c r="O78">
        <v>0.187914</v>
      </c>
      <c r="P78">
        <v>11</v>
      </c>
      <c r="Q78">
        <v>600</v>
      </c>
      <c r="R78" s="1">
        <v>600</v>
      </c>
      <c r="T78">
        <f t="shared" si="2"/>
        <v>0</v>
      </c>
      <c r="U78" s="1">
        <f t="shared" si="3"/>
        <v>0</v>
      </c>
    </row>
    <row r="79" spans="1:21">
      <c r="A79" t="s">
        <v>157</v>
      </c>
      <c r="B79">
        <v>196591</v>
      </c>
      <c r="C79">
        <v>950327</v>
      </c>
      <c r="D79">
        <v>46100</v>
      </c>
      <c r="E79">
        <v>600305</v>
      </c>
      <c r="F79">
        <v>0.202357</v>
      </c>
      <c r="G79">
        <v>281479</v>
      </c>
      <c r="H79">
        <v>2.49173</v>
      </c>
      <c r="I79">
        <v>281247</v>
      </c>
      <c r="J79">
        <v>0.323059</v>
      </c>
      <c r="K79">
        <v>503</v>
      </c>
      <c r="L79">
        <v>0</v>
      </c>
      <c r="M79">
        <v>-1</v>
      </c>
      <c r="N79">
        <v>7</v>
      </c>
      <c r="O79">
        <v>0.216071</v>
      </c>
      <c r="P79">
        <v>7</v>
      </c>
      <c r="Q79">
        <v>600</v>
      </c>
      <c r="R79" s="1">
        <v>600</v>
      </c>
      <c r="T79">
        <f t="shared" si="2"/>
        <v>0</v>
      </c>
      <c r="U79" s="1">
        <f t="shared" si="3"/>
        <v>0</v>
      </c>
    </row>
    <row r="80" spans="1:21">
      <c r="A80" t="s">
        <v>158</v>
      </c>
      <c r="B80">
        <v>34</v>
      </c>
      <c r="C80">
        <v>78</v>
      </c>
      <c r="D80">
        <v>13</v>
      </c>
      <c r="E80">
        <v>33</v>
      </c>
      <c r="F80" s="3" t="s">
        <v>56</v>
      </c>
      <c r="G80">
        <v>14</v>
      </c>
      <c r="H80" s="3" t="s">
        <v>199</v>
      </c>
      <c r="I80">
        <v>14</v>
      </c>
      <c r="J80">
        <v>0.002141</v>
      </c>
      <c r="K80">
        <v>7</v>
      </c>
      <c r="L80">
        <v>0</v>
      </c>
      <c r="M80">
        <v>0.00511</v>
      </c>
      <c r="N80">
        <v>4</v>
      </c>
      <c r="O80" s="3" t="s">
        <v>56</v>
      </c>
      <c r="P80">
        <v>4</v>
      </c>
      <c r="Q80">
        <v>0.018428</v>
      </c>
      <c r="R80" s="1">
        <v>0.012946</v>
      </c>
      <c r="T80">
        <f t="shared" si="2"/>
        <v>0</v>
      </c>
      <c r="U80" s="1">
        <f t="shared" si="3"/>
        <v>1</v>
      </c>
    </row>
    <row r="81" spans="1:21">
      <c r="A81" t="s">
        <v>160</v>
      </c>
      <c r="B81">
        <v>70068</v>
      </c>
      <c r="C81">
        <v>358647</v>
      </c>
      <c r="D81">
        <v>25016</v>
      </c>
      <c r="E81">
        <v>292909</v>
      </c>
      <c r="F81">
        <v>0.072796</v>
      </c>
      <c r="G81">
        <v>71830</v>
      </c>
      <c r="H81">
        <v>0.864004</v>
      </c>
      <c r="I81">
        <v>71513</v>
      </c>
      <c r="J81">
        <v>0.314984</v>
      </c>
      <c r="K81">
        <v>430</v>
      </c>
      <c r="L81">
        <v>0</v>
      </c>
      <c r="M81">
        <v>-1</v>
      </c>
      <c r="N81">
        <v>4</v>
      </c>
      <c r="O81">
        <v>0.051974</v>
      </c>
      <c r="P81">
        <v>4</v>
      </c>
      <c r="Q81">
        <v>600</v>
      </c>
      <c r="R81" s="1">
        <v>600</v>
      </c>
      <c r="T81">
        <f t="shared" si="2"/>
        <v>0</v>
      </c>
      <c r="U81" s="1">
        <f t="shared" si="3"/>
        <v>0</v>
      </c>
    </row>
    <row r="82" spans="1:21">
      <c r="A82" t="s">
        <v>161</v>
      </c>
      <c r="B82">
        <v>404719</v>
      </c>
      <c r="C82">
        <v>713319</v>
      </c>
      <c r="D82">
        <v>96749</v>
      </c>
      <c r="E82">
        <v>405349</v>
      </c>
      <c r="F82">
        <v>0.115443</v>
      </c>
      <c r="G82">
        <v>49436</v>
      </c>
      <c r="H82">
        <v>0.673907</v>
      </c>
      <c r="I82">
        <v>48877</v>
      </c>
      <c r="J82">
        <v>0.178177</v>
      </c>
      <c r="K82">
        <v>453</v>
      </c>
      <c r="L82">
        <v>0</v>
      </c>
      <c r="M82">
        <v>-1</v>
      </c>
      <c r="N82">
        <v>2</v>
      </c>
      <c r="O82">
        <v>0.100291</v>
      </c>
      <c r="P82">
        <v>2</v>
      </c>
      <c r="Q82">
        <v>600</v>
      </c>
      <c r="R82" s="1">
        <v>600</v>
      </c>
      <c r="T82">
        <f t="shared" si="2"/>
        <v>0</v>
      </c>
      <c r="U82" s="1">
        <f t="shared" si="3"/>
        <v>0</v>
      </c>
    </row>
    <row r="83" spans="1:21">
      <c r="A83" t="s">
        <v>162</v>
      </c>
      <c r="B83">
        <v>889</v>
      </c>
      <c r="C83">
        <v>2914</v>
      </c>
      <c r="D83">
        <v>431</v>
      </c>
      <c r="E83">
        <v>2137</v>
      </c>
      <c r="F83">
        <v>0.000435</v>
      </c>
      <c r="G83">
        <v>723</v>
      </c>
      <c r="H83">
        <v>0.00178</v>
      </c>
      <c r="I83">
        <v>458</v>
      </c>
      <c r="J83">
        <v>0.093714</v>
      </c>
      <c r="K83">
        <v>538</v>
      </c>
      <c r="L83">
        <v>0</v>
      </c>
      <c r="M83">
        <v>0.03671</v>
      </c>
      <c r="N83">
        <v>4</v>
      </c>
      <c r="O83">
        <v>0.000277</v>
      </c>
      <c r="P83">
        <v>5</v>
      </c>
      <c r="Q83">
        <v>0.147828</v>
      </c>
      <c r="R83" s="1">
        <v>0.090259</v>
      </c>
      <c r="T83">
        <f t="shared" si="2"/>
        <v>0</v>
      </c>
      <c r="U83" s="1">
        <f t="shared" si="3"/>
        <v>1</v>
      </c>
    </row>
    <row r="84" spans="1:21">
      <c r="A84" t="s">
        <v>163</v>
      </c>
      <c r="B84">
        <v>26475</v>
      </c>
      <c r="C84">
        <v>53381</v>
      </c>
      <c r="D84">
        <v>5696</v>
      </c>
      <c r="E84">
        <v>22287</v>
      </c>
      <c r="F84">
        <v>0.007043</v>
      </c>
      <c r="G84">
        <v>11604</v>
      </c>
      <c r="H84">
        <v>0.039456</v>
      </c>
      <c r="I84">
        <v>11544</v>
      </c>
      <c r="J84">
        <v>0.258238</v>
      </c>
      <c r="K84">
        <v>1003</v>
      </c>
      <c r="L84">
        <v>0</v>
      </c>
      <c r="M84">
        <v>-1</v>
      </c>
      <c r="N84">
        <v>3</v>
      </c>
      <c r="O84">
        <v>0.005817</v>
      </c>
      <c r="P84">
        <v>3</v>
      </c>
      <c r="Q84">
        <v>600</v>
      </c>
      <c r="R84" s="1">
        <v>600</v>
      </c>
      <c r="T84">
        <f t="shared" si="2"/>
        <v>0</v>
      </c>
      <c r="U84" s="1">
        <f t="shared" si="3"/>
        <v>0</v>
      </c>
    </row>
    <row r="85" spans="1:21">
      <c r="A85" t="s">
        <v>164</v>
      </c>
      <c r="B85">
        <v>40164</v>
      </c>
      <c r="C85">
        <v>85123</v>
      </c>
      <c r="D85">
        <v>9439</v>
      </c>
      <c r="E85">
        <v>39351</v>
      </c>
      <c r="F85">
        <v>0.01456</v>
      </c>
      <c r="G85">
        <v>21641</v>
      </c>
      <c r="H85">
        <v>0.086277</v>
      </c>
      <c r="I85">
        <v>21572</v>
      </c>
      <c r="J85">
        <v>0.221286</v>
      </c>
      <c r="K85">
        <v>903</v>
      </c>
      <c r="L85">
        <v>0</v>
      </c>
      <c r="M85">
        <v>-1</v>
      </c>
      <c r="N85">
        <v>3</v>
      </c>
      <c r="O85">
        <v>0.011349</v>
      </c>
      <c r="P85">
        <v>3</v>
      </c>
      <c r="Q85">
        <v>600</v>
      </c>
      <c r="R85" s="1">
        <v>600</v>
      </c>
      <c r="T85">
        <f t="shared" si="2"/>
        <v>0</v>
      </c>
      <c r="U85" s="1">
        <f t="shared" si="3"/>
        <v>0</v>
      </c>
    </row>
    <row r="86" spans="1:21">
      <c r="A86" t="s">
        <v>165</v>
      </c>
      <c r="B86">
        <v>62561</v>
      </c>
      <c r="C86">
        <v>147878</v>
      </c>
      <c r="D86">
        <v>24443</v>
      </c>
      <c r="E86">
        <v>100454</v>
      </c>
      <c r="F86">
        <v>0.041385</v>
      </c>
      <c r="G86">
        <v>379</v>
      </c>
      <c r="H86">
        <v>0.075453</v>
      </c>
      <c r="I86">
        <v>90</v>
      </c>
      <c r="J86">
        <v>0.166262</v>
      </c>
      <c r="K86">
        <v>0</v>
      </c>
      <c r="L86">
        <v>0</v>
      </c>
      <c r="M86" s="3" t="s">
        <v>26</v>
      </c>
      <c r="N86">
        <v>3</v>
      </c>
      <c r="O86">
        <v>0.036054</v>
      </c>
      <c r="P86">
        <v>3</v>
      </c>
      <c r="Q86">
        <v>0.494776</v>
      </c>
      <c r="R86" s="1">
        <v>0.150671</v>
      </c>
      <c r="T86">
        <f t="shared" si="2"/>
        <v>0</v>
      </c>
      <c r="U86" s="1">
        <f t="shared" si="3"/>
        <v>1</v>
      </c>
    </row>
    <row r="87" spans="1:21">
      <c r="A87" t="s">
        <v>166</v>
      </c>
      <c r="B87">
        <v>190914</v>
      </c>
      <c r="C87">
        <v>607610</v>
      </c>
      <c r="D87">
        <v>69395</v>
      </c>
      <c r="E87">
        <v>406612</v>
      </c>
      <c r="F87">
        <v>0.158556</v>
      </c>
      <c r="G87">
        <v>113378</v>
      </c>
      <c r="H87">
        <v>0.737072</v>
      </c>
      <c r="I87">
        <v>113151</v>
      </c>
      <c r="J87">
        <v>0.193169</v>
      </c>
      <c r="K87">
        <v>487</v>
      </c>
      <c r="L87">
        <v>0</v>
      </c>
      <c r="M87">
        <v>-1</v>
      </c>
      <c r="N87">
        <v>4</v>
      </c>
      <c r="O87">
        <v>0.149481</v>
      </c>
      <c r="P87">
        <v>4</v>
      </c>
      <c r="Q87">
        <v>600</v>
      </c>
      <c r="R87" s="1">
        <v>600</v>
      </c>
      <c r="T87">
        <f t="shared" si="2"/>
        <v>0</v>
      </c>
      <c r="U87" s="1">
        <f t="shared" si="3"/>
        <v>0</v>
      </c>
    </row>
    <row r="88" spans="1:21">
      <c r="A88" t="s">
        <v>167</v>
      </c>
      <c r="B88">
        <v>2113</v>
      </c>
      <c r="C88">
        <v>6632</v>
      </c>
      <c r="D88">
        <v>131</v>
      </c>
      <c r="E88">
        <v>1299</v>
      </c>
      <c r="F88">
        <v>0.000437</v>
      </c>
      <c r="G88">
        <v>749</v>
      </c>
      <c r="H88">
        <v>0.002478</v>
      </c>
      <c r="I88">
        <v>749</v>
      </c>
      <c r="J88">
        <v>0.173365</v>
      </c>
      <c r="K88">
        <v>622</v>
      </c>
      <c r="L88">
        <v>10</v>
      </c>
      <c r="M88">
        <v>0.111097</v>
      </c>
      <c r="N88">
        <v>11</v>
      </c>
      <c r="O88">
        <v>0.000826</v>
      </c>
      <c r="P88">
        <v>11</v>
      </c>
      <c r="Q88">
        <v>0.306332</v>
      </c>
      <c r="R88" s="1">
        <v>0.160188</v>
      </c>
      <c r="T88">
        <f t="shared" si="2"/>
        <v>0</v>
      </c>
      <c r="U88" s="1">
        <f t="shared" si="3"/>
        <v>1</v>
      </c>
    </row>
    <row r="89" spans="1:21">
      <c r="A89" t="s">
        <v>168</v>
      </c>
      <c r="B89">
        <v>7476</v>
      </c>
      <c r="C89">
        <v>56943</v>
      </c>
      <c r="D89">
        <v>979</v>
      </c>
      <c r="E89">
        <v>36169</v>
      </c>
      <c r="F89">
        <v>0.008836</v>
      </c>
      <c r="G89">
        <v>31503</v>
      </c>
      <c r="H89">
        <v>0.439786</v>
      </c>
      <c r="I89">
        <v>31450</v>
      </c>
      <c r="J89">
        <v>4.31504</v>
      </c>
      <c r="K89">
        <v>694</v>
      </c>
      <c r="L89">
        <v>0</v>
      </c>
      <c r="M89">
        <v>-1</v>
      </c>
      <c r="N89">
        <v>17</v>
      </c>
      <c r="O89">
        <v>0.009135</v>
      </c>
      <c r="P89">
        <v>17</v>
      </c>
      <c r="Q89">
        <v>600</v>
      </c>
      <c r="R89" s="1">
        <v>600</v>
      </c>
      <c r="T89">
        <f t="shared" si="2"/>
        <v>0</v>
      </c>
      <c r="U89" s="1">
        <f t="shared" si="3"/>
        <v>0</v>
      </c>
    </row>
    <row r="90" spans="1:21">
      <c r="A90" t="s">
        <v>169</v>
      </c>
      <c r="B90">
        <v>3031</v>
      </c>
      <c r="C90">
        <v>6474</v>
      </c>
      <c r="D90">
        <v>51</v>
      </c>
      <c r="E90">
        <v>645</v>
      </c>
      <c r="F90">
        <v>0.000114</v>
      </c>
      <c r="G90">
        <v>645</v>
      </c>
      <c r="H90">
        <v>0.000919</v>
      </c>
      <c r="I90">
        <v>645</v>
      </c>
      <c r="J90">
        <v>0.044353</v>
      </c>
      <c r="K90">
        <v>343</v>
      </c>
      <c r="L90">
        <v>41</v>
      </c>
      <c r="M90">
        <v>0.207497</v>
      </c>
      <c r="N90">
        <v>20</v>
      </c>
      <c r="O90">
        <v>0.000272</v>
      </c>
      <c r="P90">
        <v>21</v>
      </c>
      <c r="Q90">
        <v>0.266631</v>
      </c>
      <c r="R90" s="1">
        <v>0.595242</v>
      </c>
      <c r="T90">
        <f t="shared" si="2"/>
        <v>1</v>
      </c>
      <c r="U90" s="1">
        <f t="shared" si="3"/>
        <v>0</v>
      </c>
    </row>
    <row r="91" spans="1:21">
      <c r="A91" t="s">
        <v>170</v>
      </c>
      <c r="B91">
        <v>1299</v>
      </c>
      <c r="C91">
        <v>2773</v>
      </c>
      <c r="D91">
        <v>53</v>
      </c>
      <c r="E91">
        <v>415</v>
      </c>
      <c r="F91">
        <v>0.000131</v>
      </c>
      <c r="G91">
        <v>410</v>
      </c>
      <c r="H91">
        <v>0.000674</v>
      </c>
      <c r="I91">
        <v>410</v>
      </c>
      <c r="J91">
        <v>0.029894</v>
      </c>
      <c r="K91">
        <v>77</v>
      </c>
      <c r="L91">
        <v>1</v>
      </c>
      <c r="M91">
        <v>0.015306</v>
      </c>
      <c r="N91">
        <v>15</v>
      </c>
      <c r="O91">
        <v>0.000272</v>
      </c>
      <c r="P91">
        <v>15</v>
      </c>
      <c r="Q91">
        <v>0.057382</v>
      </c>
      <c r="R91" s="1">
        <v>0.043457</v>
      </c>
      <c r="T91">
        <f t="shared" si="2"/>
        <v>0</v>
      </c>
      <c r="U91" s="1">
        <f t="shared" si="3"/>
        <v>1</v>
      </c>
    </row>
    <row r="92" spans="1:21">
      <c r="A92" t="s">
        <v>172</v>
      </c>
      <c r="B92">
        <v>11358</v>
      </c>
      <c r="C92">
        <v>47606</v>
      </c>
      <c r="D92">
        <v>452</v>
      </c>
      <c r="E92">
        <v>8164</v>
      </c>
      <c r="F92">
        <v>0.003437</v>
      </c>
      <c r="G92">
        <v>8129</v>
      </c>
      <c r="H92">
        <v>0.018092</v>
      </c>
      <c r="I92">
        <v>8129</v>
      </c>
      <c r="J92">
        <v>0.785709</v>
      </c>
      <c r="K92">
        <v>3570</v>
      </c>
      <c r="L92">
        <v>1243</v>
      </c>
      <c r="M92">
        <v>313.128</v>
      </c>
      <c r="N92">
        <v>29</v>
      </c>
      <c r="O92">
        <v>0.00749</v>
      </c>
      <c r="P92">
        <v>30</v>
      </c>
      <c r="Q92">
        <v>314.747</v>
      </c>
      <c r="R92" s="1">
        <v>68.0888</v>
      </c>
      <c r="T92">
        <f t="shared" si="2"/>
        <v>0</v>
      </c>
      <c r="U92" s="1">
        <f t="shared" si="3"/>
        <v>1</v>
      </c>
    </row>
    <row r="93" spans="1:21">
      <c r="A93" t="s">
        <v>174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0.001089</v>
      </c>
      <c r="I93">
        <v>388</v>
      </c>
      <c r="J93">
        <v>0.061876</v>
      </c>
      <c r="K93">
        <v>388</v>
      </c>
      <c r="L93">
        <v>10</v>
      </c>
      <c r="M93">
        <v>0.042757</v>
      </c>
      <c r="N93">
        <v>6</v>
      </c>
      <c r="O93">
        <v>0.000136</v>
      </c>
      <c r="P93">
        <v>7</v>
      </c>
      <c r="Q93">
        <v>0.113392</v>
      </c>
      <c r="R93" s="1">
        <v>0.096339</v>
      </c>
      <c r="T93">
        <f t="shared" si="2"/>
        <v>0</v>
      </c>
      <c r="U93" s="1">
        <f t="shared" si="3"/>
        <v>1</v>
      </c>
    </row>
    <row r="94" spans="1:21">
      <c r="A94" t="s">
        <v>175</v>
      </c>
      <c r="B94">
        <v>121422</v>
      </c>
      <c r="C94">
        <v>334419</v>
      </c>
      <c r="D94">
        <v>977</v>
      </c>
      <c r="E94">
        <v>24040</v>
      </c>
      <c r="F94">
        <v>0.00906</v>
      </c>
      <c r="G94">
        <v>23689</v>
      </c>
      <c r="H94">
        <v>0.090696</v>
      </c>
      <c r="I94">
        <v>23689</v>
      </c>
      <c r="J94">
        <v>3.9821</v>
      </c>
      <c r="K94">
        <v>1170</v>
      </c>
      <c r="L94">
        <v>0</v>
      </c>
      <c r="M94">
        <v>-1</v>
      </c>
      <c r="N94">
        <v>26</v>
      </c>
      <c r="O94">
        <v>0.033714</v>
      </c>
      <c r="P94">
        <v>26</v>
      </c>
      <c r="Q94">
        <v>600</v>
      </c>
      <c r="R94" s="1">
        <v>600</v>
      </c>
      <c r="T94">
        <f t="shared" si="2"/>
        <v>0</v>
      </c>
      <c r="U94" s="1">
        <f t="shared" si="3"/>
        <v>0</v>
      </c>
    </row>
    <row r="95" spans="1:21">
      <c r="A95" t="s">
        <v>176</v>
      </c>
      <c r="B95">
        <v>4767</v>
      </c>
      <c r="C95">
        <v>37375</v>
      </c>
      <c r="D95">
        <v>1986</v>
      </c>
      <c r="E95">
        <v>30096</v>
      </c>
      <c r="F95">
        <v>0.00651</v>
      </c>
      <c r="G95">
        <v>14533</v>
      </c>
      <c r="H95">
        <v>0.099977</v>
      </c>
      <c r="I95">
        <v>14221</v>
      </c>
      <c r="J95">
        <v>0.236979</v>
      </c>
      <c r="K95">
        <v>861</v>
      </c>
      <c r="L95">
        <v>0</v>
      </c>
      <c r="M95">
        <v>-1</v>
      </c>
      <c r="N95">
        <v>8</v>
      </c>
      <c r="O95">
        <v>0.004473</v>
      </c>
      <c r="P95">
        <v>8</v>
      </c>
      <c r="Q95">
        <v>600</v>
      </c>
      <c r="R95" s="1">
        <v>600</v>
      </c>
      <c r="T95">
        <f t="shared" si="2"/>
        <v>0</v>
      </c>
      <c r="U95" s="1">
        <f t="shared" si="3"/>
        <v>0</v>
      </c>
    </row>
    <row r="96" spans="1:21">
      <c r="A96" t="s">
        <v>177</v>
      </c>
      <c r="B96">
        <v>16062</v>
      </c>
      <c r="C96">
        <v>25593</v>
      </c>
      <c r="D96">
        <v>94</v>
      </c>
      <c r="E96">
        <v>1174</v>
      </c>
      <c r="F96">
        <v>0.000946</v>
      </c>
      <c r="G96">
        <v>1174</v>
      </c>
      <c r="H96">
        <v>0.003725</v>
      </c>
      <c r="I96">
        <v>1174</v>
      </c>
      <c r="J96">
        <v>0.443339</v>
      </c>
      <c r="K96">
        <v>2029</v>
      </c>
      <c r="L96">
        <v>1109</v>
      </c>
      <c r="M96">
        <v>66.0058</v>
      </c>
      <c r="N96">
        <v>15</v>
      </c>
      <c r="O96">
        <v>0.002967</v>
      </c>
      <c r="P96">
        <v>15</v>
      </c>
      <c r="Q96">
        <v>66.5962</v>
      </c>
      <c r="R96" s="1">
        <v>4.93601</v>
      </c>
      <c r="T96">
        <f t="shared" si="2"/>
        <v>0</v>
      </c>
      <c r="U96" s="1">
        <f t="shared" si="3"/>
        <v>1</v>
      </c>
    </row>
    <row r="97" spans="20:21">
      <c r="T97">
        <f>COUNTIF(T2:T96,"=1")</f>
        <v>10</v>
      </c>
      <c r="U97">
        <f>COUNTIF(U2:U96,"=1")</f>
        <v>49</v>
      </c>
    </row>
  </sheetData>
  <sortState ref="A2:Q96">
    <sortCondition ref="A2"/>
  </sortState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7"/>
  <sheetViews>
    <sheetView tabSelected="1" topLeftCell="N58" workbookViewId="0">
      <selection activeCell="V90" sqref="V90"/>
    </sheetView>
  </sheetViews>
  <sheetFormatPr defaultColWidth="8.72727272727273" defaultRowHeight="14"/>
  <cols>
    <col min="6" max="6" width="9.54545454545454"/>
    <col min="8" max="8" width="9.54545454545454"/>
    <col min="10" max="10" width="9.54545454545454"/>
    <col min="13" max="13" width="9.54545454545454"/>
    <col min="15" max="15" width="9.54545454545454"/>
    <col min="17" max="17" width="9.54545454545454"/>
    <col min="18" max="18" width="9.54545454545454" style="1" customWidth="1"/>
    <col min="20" max="21" width="9"/>
    <col min="23" max="23" width="4.27272727272727" style="1" customWidth="1"/>
  </cols>
  <sheetData>
    <row r="1" s="1" customForma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T1" s="2"/>
      <c r="U1" s="2"/>
    </row>
    <row r="2" spans="1:21">
      <c r="A2" t="s">
        <v>47</v>
      </c>
      <c r="B2">
        <v>453</v>
      </c>
      <c r="C2">
        <v>2025</v>
      </c>
      <c r="D2">
        <v>266</v>
      </c>
      <c r="E2">
        <v>1498</v>
      </c>
      <c r="F2">
        <v>0.000206</v>
      </c>
      <c r="G2">
        <v>771</v>
      </c>
      <c r="H2">
        <v>0.001302</v>
      </c>
      <c r="I2">
        <v>691</v>
      </c>
      <c r="J2">
        <v>0.08432</v>
      </c>
      <c r="K2">
        <v>871</v>
      </c>
      <c r="L2">
        <v>4</v>
      </c>
      <c r="M2">
        <v>0.044885</v>
      </c>
      <c r="N2">
        <v>5</v>
      </c>
      <c r="O2">
        <v>0.000127</v>
      </c>
      <c r="P2">
        <v>7</v>
      </c>
      <c r="Q2">
        <v>0.15211</v>
      </c>
      <c r="R2" s="1">
        <v>0.125995</v>
      </c>
      <c r="T2">
        <f t="shared" ref="T2:T65" si="0">IF(Q2&lt;R2,1,0)</f>
        <v>0</v>
      </c>
      <c r="U2" s="1">
        <f t="shared" ref="U2:U65" si="1">IF(R2&lt;Q2,1,0)</f>
        <v>1</v>
      </c>
    </row>
    <row r="3" spans="1:21">
      <c r="A3" t="s">
        <v>48</v>
      </c>
      <c r="B3">
        <v>516</v>
      </c>
      <c r="C3">
        <v>1188</v>
      </c>
      <c r="D3">
        <v>25</v>
      </c>
      <c r="E3">
        <v>115</v>
      </c>
      <c r="F3" s="3" t="s">
        <v>178</v>
      </c>
      <c r="G3">
        <v>100</v>
      </c>
      <c r="H3">
        <v>0.000109</v>
      </c>
      <c r="I3">
        <v>100</v>
      </c>
      <c r="J3">
        <v>0.008924</v>
      </c>
      <c r="K3">
        <v>24</v>
      </c>
      <c r="L3">
        <v>2</v>
      </c>
      <c r="M3">
        <v>0.006165</v>
      </c>
      <c r="N3">
        <v>9</v>
      </c>
      <c r="O3">
        <v>0.000107</v>
      </c>
      <c r="P3">
        <v>9</v>
      </c>
      <c r="Q3">
        <v>0.02809</v>
      </c>
      <c r="R3" s="1">
        <v>0.065023</v>
      </c>
      <c r="T3">
        <f t="shared" si="0"/>
        <v>1</v>
      </c>
      <c r="U3" s="1">
        <f t="shared" si="1"/>
        <v>0</v>
      </c>
    </row>
    <row r="4" spans="1:21">
      <c r="A4" t="s">
        <v>53</v>
      </c>
      <c r="B4">
        <v>7393</v>
      </c>
      <c r="C4">
        <v>25569</v>
      </c>
      <c r="D4">
        <v>3997</v>
      </c>
      <c r="E4">
        <v>20948</v>
      </c>
      <c r="F4">
        <v>0.004997</v>
      </c>
      <c r="G4">
        <v>1373</v>
      </c>
      <c r="H4">
        <v>0.017276</v>
      </c>
      <c r="I4">
        <v>1036</v>
      </c>
      <c r="J4">
        <v>0.122419</v>
      </c>
      <c r="K4">
        <v>295</v>
      </c>
      <c r="L4">
        <v>15</v>
      </c>
      <c r="M4">
        <v>0.474091</v>
      </c>
      <c r="N4">
        <v>3</v>
      </c>
      <c r="O4">
        <v>0.003124</v>
      </c>
      <c r="P4">
        <v>3</v>
      </c>
      <c r="Q4">
        <v>0.974496</v>
      </c>
      <c r="R4" s="1">
        <v>0.410358</v>
      </c>
      <c r="T4">
        <f t="shared" si="0"/>
        <v>0</v>
      </c>
      <c r="U4" s="1">
        <f t="shared" si="1"/>
        <v>1</v>
      </c>
    </row>
    <row r="5" spans="1:21">
      <c r="A5" t="s">
        <v>54</v>
      </c>
      <c r="B5">
        <v>1458</v>
      </c>
      <c r="C5">
        <v>1948</v>
      </c>
      <c r="D5">
        <v>83</v>
      </c>
      <c r="E5">
        <v>170</v>
      </c>
      <c r="F5">
        <v>0.000101</v>
      </c>
      <c r="G5">
        <v>36</v>
      </c>
      <c r="H5" s="3" t="s">
        <v>193</v>
      </c>
      <c r="I5">
        <v>29</v>
      </c>
      <c r="J5">
        <v>0.008606</v>
      </c>
      <c r="K5">
        <v>33</v>
      </c>
      <c r="L5">
        <v>1</v>
      </c>
      <c r="M5">
        <v>0.014954</v>
      </c>
      <c r="N5">
        <v>4</v>
      </c>
      <c r="O5">
        <v>0.000235</v>
      </c>
      <c r="P5">
        <v>4</v>
      </c>
      <c r="Q5">
        <v>0.043678</v>
      </c>
      <c r="R5" s="1">
        <v>0.016975</v>
      </c>
      <c r="T5">
        <f t="shared" si="0"/>
        <v>0</v>
      </c>
      <c r="U5" s="1">
        <f t="shared" si="1"/>
        <v>1</v>
      </c>
    </row>
    <row r="6" spans="1:21">
      <c r="A6" t="s">
        <v>58</v>
      </c>
      <c r="B6">
        <v>17903</v>
      </c>
      <c r="C6">
        <v>196972</v>
      </c>
      <c r="D6">
        <v>3135</v>
      </c>
      <c r="E6">
        <v>86156</v>
      </c>
      <c r="F6">
        <v>0.018153</v>
      </c>
      <c r="G6">
        <v>57428</v>
      </c>
      <c r="H6">
        <v>0.388878</v>
      </c>
      <c r="I6">
        <v>57405</v>
      </c>
      <c r="J6">
        <v>1.01371</v>
      </c>
      <c r="K6">
        <v>799</v>
      </c>
      <c r="L6">
        <v>0</v>
      </c>
      <c r="M6">
        <v>-1</v>
      </c>
      <c r="N6">
        <v>26</v>
      </c>
      <c r="O6">
        <v>0.02493</v>
      </c>
      <c r="P6">
        <v>26</v>
      </c>
      <c r="Q6">
        <v>600</v>
      </c>
      <c r="R6" s="1">
        <v>600</v>
      </c>
      <c r="T6">
        <f t="shared" si="0"/>
        <v>0</v>
      </c>
      <c r="U6" s="1">
        <f t="shared" si="1"/>
        <v>0</v>
      </c>
    </row>
    <row r="7" spans="1:21">
      <c r="A7" t="s">
        <v>59</v>
      </c>
      <c r="B7">
        <v>227320</v>
      </c>
      <c r="C7">
        <v>814134</v>
      </c>
      <c r="D7">
        <v>5211</v>
      </c>
      <c r="E7">
        <v>102750</v>
      </c>
      <c r="F7">
        <v>0.029568</v>
      </c>
      <c r="G7">
        <v>100526</v>
      </c>
      <c r="H7">
        <v>0.303333</v>
      </c>
      <c r="I7">
        <v>100525</v>
      </c>
      <c r="J7">
        <v>1.2193</v>
      </c>
      <c r="K7">
        <v>908</v>
      </c>
      <c r="L7">
        <v>0</v>
      </c>
      <c r="M7">
        <v>-1</v>
      </c>
      <c r="N7">
        <v>23</v>
      </c>
      <c r="O7">
        <v>0.102433</v>
      </c>
      <c r="P7">
        <v>23</v>
      </c>
      <c r="Q7">
        <v>600</v>
      </c>
      <c r="R7" s="1">
        <v>600</v>
      </c>
      <c r="T7">
        <f t="shared" si="0"/>
        <v>0</v>
      </c>
      <c r="U7" s="1">
        <f t="shared" si="1"/>
        <v>0</v>
      </c>
    </row>
    <row r="8" spans="1:21">
      <c r="A8" t="s">
        <v>60</v>
      </c>
      <c r="B8">
        <v>21363</v>
      </c>
      <c r="C8">
        <v>91286</v>
      </c>
      <c r="D8">
        <v>1883</v>
      </c>
      <c r="E8">
        <v>18104</v>
      </c>
      <c r="F8">
        <v>0.004502</v>
      </c>
      <c r="G8">
        <v>10003</v>
      </c>
      <c r="H8">
        <v>0.025031</v>
      </c>
      <c r="I8">
        <v>9994</v>
      </c>
      <c r="J8">
        <v>0.215563</v>
      </c>
      <c r="K8">
        <v>2990</v>
      </c>
      <c r="L8">
        <v>532</v>
      </c>
      <c r="M8">
        <v>100.706</v>
      </c>
      <c r="N8">
        <v>11</v>
      </c>
      <c r="O8">
        <v>0.007841</v>
      </c>
      <c r="P8">
        <v>12</v>
      </c>
      <c r="Q8">
        <v>101.098</v>
      </c>
      <c r="R8" s="1">
        <v>43.2274</v>
      </c>
      <c r="T8">
        <f t="shared" si="0"/>
        <v>0</v>
      </c>
      <c r="U8" s="1">
        <f t="shared" si="1"/>
        <v>1</v>
      </c>
    </row>
    <row r="9" spans="1:21">
      <c r="A9" t="s">
        <v>61</v>
      </c>
      <c r="B9">
        <v>1882</v>
      </c>
      <c r="C9">
        <v>1740</v>
      </c>
      <c r="D9">
        <v>583</v>
      </c>
      <c r="E9">
        <v>524</v>
      </c>
      <c r="F9">
        <v>0.000148</v>
      </c>
      <c r="G9">
        <v>20</v>
      </c>
      <c r="H9">
        <v>0.000117</v>
      </c>
      <c r="I9">
        <v>0</v>
      </c>
      <c r="J9">
        <v>0.003429</v>
      </c>
      <c r="K9">
        <v>0</v>
      </c>
      <c r="L9">
        <v>0</v>
      </c>
      <c r="M9">
        <v>0.009579</v>
      </c>
      <c r="N9">
        <v>2</v>
      </c>
      <c r="O9">
        <v>0.000136</v>
      </c>
      <c r="P9">
        <v>2</v>
      </c>
      <c r="Q9">
        <v>0.018433</v>
      </c>
      <c r="R9" s="1">
        <v>0.010157</v>
      </c>
      <c r="T9">
        <f t="shared" si="0"/>
        <v>0</v>
      </c>
      <c r="U9" s="1">
        <f t="shared" si="1"/>
        <v>1</v>
      </c>
    </row>
    <row r="10" spans="1:21">
      <c r="A10" t="s">
        <v>63</v>
      </c>
      <c r="B10">
        <v>226413</v>
      </c>
      <c r="C10">
        <v>716460</v>
      </c>
      <c r="D10">
        <v>4246</v>
      </c>
      <c r="E10">
        <v>67061</v>
      </c>
      <c r="F10">
        <v>0.03564</v>
      </c>
      <c r="G10">
        <v>65371</v>
      </c>
      <c r="H10">
        <v>0.262828</v>
      </c>
      <c r="I10">
        <v>65369</v>
      </c>
      <c r="J10">
        <v>1.69978</v>
      </c>
      <c r="K10">
        <v>914</v>
      </c>
      <c r="L10">
        <v>0</v>
      </c>
      <c r="M10">
        <v>-1</v>
      </c>
      <c r="N10">
        <v>18</v>
      </c>
      <c r="O10">
        <v>0.152224</v>
      </c>
      <c r="P10">
        <v>18</v>
      </c>
      <c r="Q10">
        <v>600</v>
      </c>
      <c r="R10" s="1">
        <v>600</v>
      </c>
      <c r="T10">
        <f t="shared" si="0"/>
        <v>0</v>
      </c>
      <c r="U10" s="1">
        <f t="shared" si="1"/>
        <v>0</v>
      </c>
    </row>
    <row r="11" spans="1:21">
      <c r="A11" t="s">
        <v>64</v>
      </c>
      <c r="B11">
        <v>5094</v>
      </c>
      <c r="C11">
        <v>7515</v>
      </c>
      <c r="D11">
        <v>492</v>
      </c>
      <c r="E11">
        <v>1777</v>
      </c>
      <c r="F11">
        <v>0.000585</v>
      </c>
      <c r="G11">
        <v>347</v>
      </c>
      <c r="H11">
        <v>0.001226</v>
      </c>
      <c r="I11">
        <v>218</v>
      </c>
      <c r="J11">
        <v>0.077733</v>
      </c>
      <c r="K11">
        <v>467</v>
      </c>
      <c r="L11">
        <v>15</v>
      </c>
      <c r="M11">
        <v>0.130855</v>
      </c>
      <c r="N11">
        <v>4</v>
      </c>
      <c r="O11">
        <v>0.000761</v>
      </c>
      <c r="P11">
        <v>4</v>
      </c>
      <c r="Q11">
        <v>0.240588</v>
      </c>
      <c r="R11" s="1">
        <v>0.09591</v>
      </c>
      <c r="T11">
        <f t="shared" si="0"/>
        <v>0</v>
      </c>
      <c r="U11" s="1">
        <f t="shared" si="1"/>
        <v>1</v>
      </c>
    </row>
    <row r="12" spans="1:21">
      <c r="A12" t="s">
        <v>65</v>
      </c>
      <c r="B12">
        <v>4158</v>
      </c>
      <c r="C12">
        <v>13422</v>
      </c>
      <c r="D12">
        <v>123</v>
      </c>
      <c r="E12">
        <v>2406</v>
      </c>
      <c r="F12">
        <v>0.000572</v>
      </c>
      <c r="G12">
        <v>2406</v>
      </c>
      <c r="H12">
        <v>0.008994</v>
      </c>
      <c r="I12">
        <v>2406</v>
      </c>
      <c r="J12">
        <v>0.64944</v>
      </c>
      <c r="K12">
        <v>1108</v>
      </c>
      <c r="L12">
        <v>198</v>
      </c>
      <c r="M12">
        <v>4.01759</v>
      </c>
      <c r="N12">
        <v>29</v>
      </c>
      <c r="O12">
        <v>0.001548</v>
      </c>
      <c r="P12">
        <v>29</v>
      </c>
      <c r="Q12">
        <v>4.75476</v>
      </c>
      <c r="R12" s="1">
        <v>5.32939</v>
      </c>
      <c r="T12">
        <f t="shared" si="0"/>
        <v>1</v>
      </c>
      <c r="U12" s="1">
        <f t="shared" si="1"/>
        <v>0</v>
      </c>
    </row>
    <row r="13" spans="1:21">
      <c r="A13" t="s">
        <v>66</v>
      </c>
      <c r="B13">
        <v>11204</v>
      </c>
      <c r="C13">
        <v>117619</v>
      </c>
      <c r="D13">
        <v>456</v>
      </c>
      <c r="E13">
        <v>41293</v>
      </c>
      <c r="F13">
        <v>0.010473</v>
      </c>
      <c r="G13">
        <v>40591</v>
      </c>
      <c r="H13">
        <v>1.07015</v>
      </c>
      <c r="I13">
        <v>40591</v>
      </c>
      <c r="J13">
        <v>332.4</v>
      </c>
      <c r="K13">
        <v>805</v>
      </c>
      <c r="L13">
        <v>0</v>
      </c>
      <c r="M13">
        <v>-1</v>
      </c>
      <c r="N13">
        <v>83</v>
      </c>
      <c r="O13">
        <v>0.045214</v>
      </c>
      <c r="P13">
        <v>83</v>
      </c>
      <c r="Q13">
        <v>600</v>
      </c>
      <c r="R13" s="1">
        <v>600</v>
      </c>
      <c r="T13">
        <f t="shared" si="0"/>
        <v>0</v>
      </c>
      <c r="U13" s="1">
        <f t="shared" si="1"/>
        <v>0</v>
      </c>
    </row>
    <row r="14" spans="1:21">
      <c r="A14" t="s">
        <v>67</v>
      </c>
      <c r="B14">
        <v>332689</v>
      </c>
      <c r="C14">
        <v>820644</v>
      </c>
      <c r="D14">
        <v>26475</v>
      </c>
      <c r="E14">
        <v>169690</v>
      </c>
      <c r="F14">
        <v>0.103758</v>
      </c>
      <c r="G14">
        <v>33551</v>
      </c>
      <c r="H14">
        <v>0.242233</v>
      </c>
      <c r="I14">
        <v>33444</v>
      </c>
      <c r="J14">
        <v>0.227005</v>
      </c>
      <c r="K14">
        <v>875</v>
      </c>
      <c r="L14">
        <v>0</v>
      </c>
      <c r="M14">
        <v>-1</v>
      </c>
      <c r="N14">
        <v>7</v>
      </c>
      <c r="O14">
        <v>0.241272</v>
      </c>
      <c r="P14">
        <v>7</v>
      </c>
      <c r="Q14">
        <v>600</v>
      </c>
      <c r="R14" s="1">
        <v>600</v>
      </c>
      <c r="T14">
        <f t="shared" si="0"/>
        <v>0</v>
      </c>
      <c r="U14" s="1">
        <f t="shared" si="1"/>
        <v>0</v>
      </c>
    </row>
    <row r="15" spans="1:21">
      <c r="A15" t="s">
        <v>68</v>
      </c>
      <c r="B15">
        <v>379</v>
      </c>
      <c r="C15">
        <v>914</v>
      </c>
      <c r="D15">
        <v>9</v>
      </c>
      <c r="E15">
        <v>36</v>
      </c>
      <c r="F15" s="3" t="s">
        <v>209</v>
      </c>
      <c r="G15">
        <v>36</v>
      </c>
      <c r="H15" s="3" t="s">
        <v>186</v>
      </c>
      <c r="I15">
        <v>36</v>
      </c>
      <c r="J15" s="3" t="s">
        <v>51</v>
      </c>
      <c r="K15">
        <v>2</v>
      </c>
      <c r="L15">
        <v>0</v>
      </c>
      <c r="M15">
        <v>0.00448</v>
      </c>
      <c r="N15">
        <v>8</v>
      </c>
      <c r="O15" s="3" t="s">
        <v>171</v>
      </c>
      <c r="P15">
        <v>8</v>
      </c>
      <c r="Q15">
        <v>0.053805</v>
      </c>
      <c r="R15" s="1">
        <v>0.0138</v>
      </c>
      <c r="T15">
        <f t="shared" si="0"/>
        <v>0</v>
      </c>
      <c r="U15" s="1">
        <f t="shared" si="1"/>
        <v>1</v>
      </c>
    </row>
    <row r="16" spans="1:21">
      <c r="A16" t="s">
        <v>70</v>
      </c>
      <c r="B16">
        <v>32430</v>
      </c>
      <c r="C16">
        <v>54397</v>
      </c>
      <c r="D16">
        <v>2077</v>
      </c>
      <c r="E16">
        <v>18034</v>
      </c>
      <c r="F16">
        <v>0.00461</v>
      </c>
      <c r="G16">
        <v>12157</v>
      </c>
      <c r="H16">
        <v>0.027957</v>
      </c>
      <c r="I16">
        <v>12055</v>
      </c>
      <c r="J16">
        <v>0.162864</v>
      </c>
      <c r="K16">
        <v>1320</v>
      </c>
      <c r="L16">
        <v>0</v>
      </c>
      <c r="M16">
        <v>-1</v>
      </c>
      <c r="N16">
        <v>4</v>
      </c>
      <c r="O16">
        <v>0.004781</v>
      </c>
      <c r="P16">
        <v>4</v>
      </c>
      <c r="Q16">
        <v>600</v>
      </c>
      <c r="R16" s="1">
        <v>600</v>
      </c>
      <c r="T16">
        <f t="shared" si="0"/>
        <v>0</v>
      </c>
      <c r="U16" s="1">
        <f t="shared" si="1"/>
        <v>0</v>
      </c>
    </row>
    <row r="17" spans="1:21">
      <c r="A17" t="s">
        <v>71</v>
      </c>
      <c r="B17">
        <v>1133</v>
      </c>
      <c r="C17">
        <v>5451</v>
      </c>
      <c r="D17">
        <v>588</v>
      </c>
      <c r="E17">
        <v>4048</v>
      </c>
      <c r="F17">
        <v>0.000612</v>
      </c>
      <c r="G17">
        <v>776</v>
      </c>
      <c r="H17">
        <v>0.002872</v>
      </c>
      <c r="I17">
        <v>459</v>
      </c>
      <c r="J17">
        <v>0.1101</v>
      </c>
      <c r="K17">
        <v>592</v>
      </c>
      <c r="L17">
        <v>5</v>
      </c>
      <c r="M17">
        <v>0.032727</v>
      </c>
      <c r="N17">
        <v>6</v>
      </c>
      <c r="O17">
        <v>0.000365</v>
      </c>
      <c r="P17">
        <v>7</v>
      </c>
      <c r="Q17">
        <v>0.172347</v>
      </c>
      <c r="R17" s="1">
        <v>0.142977</v>
      </c>
      <c r="T17">
        <f t="shared" si="0"/>
        <v>0</v>
      </c>
      <c r="U17" s="1">
        <f t="shared" si="1"/>
        <v>1</v>
      </c>
    </row>
    <row r="18" spans="1:21">
      <c r="A18" t="s">
        <v>72</v>
      </c>
      <c r="B18">
        <v>33696</v>
      </c>
      <c r="C18">
        <v>180811</v>
      </c>
      <c r="D18">
        <v>7541</v>
      </c>
      <c r="E18">
        <v>118896</v>
      </c>
      <c r="F18">
        <v>0.029752</v>
      </c>
      <c r="G18">
        <v>90403</v>
      </c>
      <c r="H18">
        <v>0.486266</v>
      </c>
      <c r="I18">
        <v>90268</v>
      </c>
      <c r="J18">
        <v>0.309114</v>
      </c>
      <c r="K18">
        <v>554</v>
      </c>
      <c r="L18">
        <v>0</v>
      </c>
      <c r="M18">
        <v>-1</v>
      </c>
      <c r="N18">
        <v>7</v>
      </c>
      <c r="O18">
        <v>0.024579</v>
      </c>
      <c r="P18">
        <v>7</v>
      </c>
      <c r="Q18">
        <v>600</v>
      </c>
      <c r="R18" s="1">
        <v>600</v>
      </c>
      <c r="T18">
        <f t="shared" si="0"/>
        <v>0</v>
      </c>
      <c r="U18" s="1">
        <f t="shared" si="1"/>
        <v>0</v>
      </c>
    </row>
    <row r="19" spans="1:21">
      <c r="A19" t="s">
        <v>73</v>
      </c>
      <c r="B19">
        <v>143</v>
      </c>
      <c r="C19">
        <v>623</v>
      </c>
      <c r="D19">
        <v>80</v>
      </c>
      <c r="E19">
        <v>442</v>
      </c>
      <c r="F19" s="3" t="s">
        <v>210</v>
      </c>
      <c r="G19">
        <v>139</v>
      </c>
      <c r="H19">
        <v>0.000522</v>
      </c>
      <c r="I19">
        <v>105</v>
      </c>
      <c r="J19">
        <v>0.035894</v>
      </c>
      <c r="K19">
        <v>146</v>
      </c>
      <c r="L19">
        <v>0</v>
      </c>
      <c r="M19">
        <v>0.023304</v>
      </c>
      <c r="N19">
        <v>6</v>
      </c>
      <c r="O19" s="3" t="s">
        <v>211</v>
      </c>
      <c r="P19">
        <v>7</v>
      </c>
      <c r="Q19">
        <v>0.071322</v>
      </c>
      <c r="R19" s="1">
        <v>0.029524</v>
      </c>
      <c r="T19">
        <f t="shared" si="0"/>
        <v>0</v>
      </c>
      <c r="U19" s="1">
        <f t="shared" si="1"/>
        <v>1</v>
      </c>
    </row>
    <row r="20" spans="1:21">
      <c r="A20" t="s">
        <v>74</v>
      </c>
      <c r="B20">
        <v>1266</v>
      </c>
      <c r="C20">
        <v>6451</v>
      </c>
      <c r="D20">
        <v>761</v>
      </c>
      <c r="E20">
        <v>5580</v>
      </c>
      <c r="F20">
        <v>0.001067</v>
      </c>
      <c r="G20">
        <v>689</v>
      </c>
      <c r="H20">
        <v>0.005751</v>
      </c>
      <c r="I20">
        <v>139</v>
      </c>
      <c r="J20">
        <v>0.041271</v>
      </c>
      <c r="K20">
        <v>55</v>
      </c>
      <c r="L20">
        <v>0</v>
      </c>
      <c r="M20">
        <v>0.00631</v>
      </c>
      <c r="N20">
        <v>4</v>
      </c>
      <c r="O20">
        <v>0.000611</v>
      </c>
      <c r="P20">
        <v>4</v>
      </c>
      <c r="Q20">
        <v>0.069311</v>
      </c>
      <c r="R20" s="1">
        <v>0.042624</v>
      </c>
      <c r="T20">
        <f t="shared" si="0"/>
        <v>0</v>
      </c>
      <c r="U20" s="1">
        <f t="shared" si="1"/>
        <v>1</v>
      </c>
    </row>
    <row r="21" spans="1:21">
      <c r="A21" t="s">
        <v>75</v>
      </c>
      <c r="B21">
        <v>410</v>
      </c>
      <c r="C21">
        <v>2765</v>
      </c>
      <c r="D21">
        <v>149</v>
      </c>
      <c r="E21">
        <v>1327</v>
      </c>
      <c r="F21">
        <v>0.000218</v>
      </c>
      <c r="G21">
        <v>550</v>
      </c>
      <c r="H21">
        <v>0.001805</v>
      </c>
      <c r="I21">
        <v>383</v>
      </c>
      <c r="J21">
        <v>0.066058</v>
      </c>
      <c r="K21">
        <v>159</v>
      </c>
      <c r="L21">
        <v>6</v>
      </c>
      <c r="M21">
        <v>0.082802</v>
      </c>
      <c r="N21">
        <v>11</v>
      </c>
      <c r="O21">
        <v>0.000243</v>
      </c>
      <c r="P21">
        <v>11</v>
      </c>
      <c r="Q21">
        <v>0.243398</v>
      </c>
      <c r="R21" s="1">
        <v>0.155287</v>
      </c>
      <c r="T21">
        <f t="shared" si="0"/>
        <v>0</v>
      </c>
      <c r="U21" s="1">
        <f t="shared" si="1"/>
        <v>1</v>
      </c>
    </row>
    <row r="22" spans="1:21">
      <c r="A22" t="s">
        <v>76</v>
      </c>
      <c r="B22">
        <v>113</v>
      </c>
      <c r="C22">
        <v>2196</v>
      </c>
      <c r="D22">
        <v>112</v>
      </c>
      <c r="E22">
        <v>2195</v>
      </c>
      <c r="F22">
        <v>0.000326</v>
      </c>
      <c r="G22">
        <v>2038</v>
      </c>
      <c r="H22">
        <v>0.006723</v>
      </c>
      <c r="I22">
        <v>1967</v>
      </c>
      <c r="J22">
        <v>0.63192</v>
      </c>
      <c r="K22">
        <v>915</v>
      </c>
      <c r="L22">
        <v>5</v>
      </c>
      <c r="M22">
        <v>0.247635</v>
      </c>
      <c r="N22">
        <v>9</v>
      </c>
      <c r="O22">
        <v>0.000223</v>
      </c>
      <c r="P22">
        <v>12</v>
      </c>
      <c r="Q22">
        <v>0.930934</v>
      </c>
      <c r="R22" s="1">
        <v>0.226379</v>
      </c>
      <c r="T22">
        <f t="shared" si="0"/>
        <v>0</v>
      </c>
      <c r="U22" s="1">
        <f t="shared" si="1"/>
        <v>1</v>
      </c>
    </row>
    <row r="23" spans="1:21">
      <c r="A23" t="s">
        <v>77</v>
      </c>
      <c r="B23">
        <v>6809</v>
      </c>
      <c r="C23">
        <v>7680</v>
      </c>
      <c r="D23">
        <v>228</v>
      </c>
      <c r="E23">
        <v>805</v>
      </c>
      <c r="F23">
        <v>0.000219</v>
      </c>
      <c r="G23">
        <v>196</v>
      </c>
      <c r="H23">
        <v>0.000284</v>
      </c>
      <c r="I23">
        <v>163</v>
      </c>
      <c r="J23">
        <v>0.04497</v>
      </c>
      <c r="K23">
        <v>169</v>
      </c>
      <c r="L23">
        <v>0</v>
      </c>
      <c r="M23">
        <v>0.005649</v>
      </c>
      <c r="N23">
        <v>3</v>
      </c>
      <c r="O23">
        <v>0.000319</v>
      </c>
      <c r="P23">
        <v>3</v>
      </c>
      <c r="Q23">
        <v>0.064276</v>
      </c>
      <c r="R23" s="1">
        <v>0.056687</v>
      </c>
      <c r="T23">
        <f t="shared" si="0"/>
        <v>0</v>
      </c>
      <c r="U23" s="1">
        <f t="shared" si="1"/>
        <v>1</v>
      </c>
    </row>
    <row r="24" spans="1:21">
      <c r="A24" t="s">
        <v>78</v>
      </c>
      <c r="B24">
        <v>92117</v>
      </c>
      <c r="C24">
        <v>360767</v>
      </c>
      <c r="D24">
        <v>19832</v>
      </c>
      <c r="E24">
        <v>264678</v>
      </c>
      <c r="F24">
        <v>0.053766</v>
      </c>
      <c r="G24">
        <v>139137</v>
      </c>
      <c r="H24">
        <v>0.905735</v>
      </c>
      <c r="I24">
        <v>138989</v>
      </c>
      <c r="J24">
        <v>0.233796</v>
      </c>
      <c r="K24">
        <v>536</v>
      </c>
      <c r="L24">
        <v>0</v>
      </c>
      <c r="M24">
        <v>-1</v>
      </c>
      <c r="N24">
        <v>4</v>
      </c>
      <c r="O24">
        <v>0.047091</v>
      </c>
      <c r="P24">
        <v>4</v>
      </c>
      <c r="Q24">
        <v>600</v>
      </c>
      <c r="R24" s="1">
        <v>600</v>
      </c>
      <c r="T24">
        <f t="shared" si="0"/>
        <v>0</v>
      </c>
      <c r="U24" s="1">
        <f t="shared" si="1"/>
        <v>0</v>
      </c>
    </row>
    <row r="25" spans="1:21">
      <c r="A25" t="s">
        <v>79</v>
      </c>
      <c r="B25">
        <v>4941</v>
      </c>
      <c r="C25">
        <v>6594</v>
      </c>
      <c r="D25">
        <v>107</v>
      </c>
      <c r="E25">
        <v>199</v>
      </c>
      <c r="F25">
        <v>0.000219</v>
      </c>
      <c r="G25">
        <v>63</v>
      </c>
      <c r="H25" s="3" t="s">
        <v>206</v>
      </c>
      <c r="I25">
        <v>59</v>
      </c>
      <c r="J25">
        <v>0.012282</v>
      </c>
      <c r="K25">
        <v>54</v>
      </c>
      <c r="L25">
        <v>1</v>
      </c>
      <c r="M25">
        <v>0.010599</v>
      </c>
      <c r="N25">
        <v>4</v>
      </c>
      <c r="O25">
        <v>0.000507</v>
      </c>
      <c r="P25">
        <v>4</v>
      </c>
      <c r="Q25">
        <v>0.039115</v>
      </c>
      <c r="R25" s="1">
        <v>0.023761</v>
      </c>
      <c r="T25">
        <f t="shared" si="0"/>
        <v>0</v>
      </c>
      <c r="U25" s="1">
        <f t="shared" si="1"/>
        <v>1</v>
      </c>
    </row>
    <row r="26" spans="1:21">
      <c r="A26" t="s">
        <v>80</v>
      </c>
      <c r="B26">
        <v>91813</v>
      </c>
      <c r="C26">
        <v>125704</v>
      </c>
      <c r="D26">
        <v>114</v>
      </c>
      <c r="E26">
        <v>136</v>
      </c>
      <c r="F26">
        <v>0.005918</v>
      </c>
      <c r="G26">
        <v>0</v>
      </c>
      <c r="H26" s="3" t="s">
        <v>196</v>
      </c>
      <c r="I26">
        <v>0</v>
      </c>
      <c r="J26" s="3" t="s">
        <v>57</v>
      </c>
      <c r="K26">
        <v>0</v>
      </c>
      <c r="L26">
        <v>0</v>
      </c>
      <c r="M26">
        <v>0.006339</v>
      </c>
      <c r="N26">
        <v>5</v>
      </c>
      <c r="O26">
        <v>0.026244</v>
      </c>
      <c r="P26">
        <v>5</v>
      </c>
      <c r="Q26">
        <v>0.117806</v>
      </c>
      <c r="R26" s="1">
        <v>0.049403</v>
      </c>
      <c r="T26">
        <f t="shared" si="0"/>
        <v>0</v>
      </c>
      <c r="U26" s="1">
        <f t="shared" si="1"/>
        <v>1</v>
      </c>
    </row>
    <row r="27" spans="1:21">
      <c r="A27" t="s">
        <v>82</v>
      </c>
      <c r="B27">
        <v>96</v>
      </c>
      <c r="C27">
        <v>117</v>
      </c>
      <c r="D27">
        <v>16</v>
      </c>
      <c r="E27">
        <v>26</v>
      </c>
      <c r="F27" s="3" t="s">
        <v>105</v>
      </c>
      <c r="G27">
        <v>6</v>
      </c>
      <c r="H27" s="3" t="s">
        <v>44</v>
      </c>
      <c r="I27">
        <v>6</v>
      </c>
      <c r="J27">
        <v>0.011608</v>
      </c>
      <c r="K27">
        <v>7</v>
      </c>
      <c r="L27">
        <v>0</v>
      </c>
      <c r="M27">
        <v>0.008149</v>
      </c>
      <c r="N27">
        <v>3</v>
      </c>
      <c r="O27" s="3" t="s">
        <v>192</v>
      </c>
      <c r="P27">
        <v>3</v>
      </c>
      <c r="Q27">
        <v>0.033669</v>
      </c>
      <c r="R27" s="1">
        <v>0.009219</v>
      </c>
      <c r="T27">
        <f t="shared" si="0"/>
        <v>0</v>
      </c>
      <c r="U27" s="1">
        <f t="shared" si="1"/>
        <v>1</v>
      </c>
    </row>
    <row r="28" spans="1:21">
      <c r="A28" t="s">
        <v>85</v>
      </c>
      <c r="B28">
        <v>761</v>
      </c>
      <c r="C28">
        <v>1029</v>
      </c>
      <c r="D28">
        <v>145</v>
      </c>
      <c r="E28">
        <v>322</v>
      </c>
      <c r="F28">
        <v>0.000111</v>
      </c>
      <c r="G28">
        <v>77</v>
      </c>
      <c r="H28">
        <v>0.000195</v>
      </c>
      <c r="I28">
        <v>47</v>
      </c>
      <c r="J28">
        <v>0.018262</v>
      </c>
      <c r="K28">
        <v>98</v>
      </c>
      <c r="L28">
        <v>0</v>
      </c>
      <c r="M28">
        <v>0.009508</v>
      </c>
      <c r="N28">
        <v>3</v>
      </c>
      <c r="O28">
        <v>0.000112</v>
      </c>
      <c r="P28">
        <v>4</v>
      </c>
      <c r="Q28">
        <v>0.039941</v>
      </c>
      <c r="R28" s="1">
        <v>0.022714</v>
      </c>
      <c r="T28">
        <f t="shared" si="0"/>
        <v>0</v>
      </c>
      <c r="U28" s="1">
        <f t="shared" si="1"/>
        <v>1</v>
      </c>
    </row>
    <row r="29" spans="1:21">
      <c r="A29" t="s">
        <v>89</v>
      </c>
      <c r="B29">
        <v>146</v>
      </c>
      <c r="C29">
        <v>9828</v>
      </c>
      <c r="D29">
        <v>139</v>
      </c>
      <c r="E29">
        <v>9291</v>
      </c>
      <c r="F29">
        <v>0.001149</v>
      </c>
      <c r="G29">
        <v>9291</v>
      </c>
      <c r="H29">
        <v>0.089038</v>
      </c>
      <c r="I29">
        <v>9291</v>
      </c>
      <c r="J29">
        <v>5.58704</v>
      </c>
      <c r="K29">
        <v>6153</v>
      </c>
      <c r="L29">
        <v>13</v>
      </c>
      <c r="M29">
        <v>-1</v>
      </c>
      <c r="N29">
        <v>100</v>
      </c>
      <c r="O29">
        <v>0.002429</v>
      </c>
      <c r="P29">
        <v>100</v>
      </c>
      <c r="Q29">
        <v>600</v>
      </c>
      <c r="R29" s="1">
        <v>33.1704</v>
      </c>
      <c r="T29">
        <f t="shared" si="0"/>
        <v>0</v>
      </c>
      <c r="U29" s="1">
        <f t="shared" si="1"/>
        <v>1</v>
      </c>
    </row>
    <row r="30" spans="1:21">
      <c r="A30" t="s">
        <v>90</v>
      </c>
      <c r="B30">
        <v>488</v>
      </c>
      <c r="C30">
        <v>71011</v>
      </c>
      <c r="D30">
        <v>413</v>
      </c>
      <c r="E30">
        <v>69788</v>
      </c>
      <c r="F30">
        <v>0.009977</v>
      </c>
      <c r="G30">
        <v>-1</v>
      </c>
      <c r="H30">
        <v>2.67855</v>
      </c>
      <c r="I30">
        <v>-1</v>
      </c>
      <c r="J30">
        <v>-1</v>
      </c>
      <c r="K30">
        <v>0</v>
      </c>
      <c r="L30">
        <v>0</v>
      </c>
      <c r="M30">
        <v>-1</v>
      </c>
      <c r="N30">
        <v>129</v>
      </c>
      <c r="O30">
        <v>0.057325</v>
      </c>
      <c r="P30">
        <v>129</v>
      </c>
      <c r="Q30">
        <v>600</v>
      </c>
      <c r="R30" s="1">
        <v>600</v>
      </c>
      <c r="T30">
        <f t="shared" si="0"/>
        <v>0</v>
      </c>
      <c r="U30" s="1">
        <f t="shared" si="1"/>
        <v>0</v>
      </c>
    </row>
    <row r="31" spans="1:21">
      <c r="A31" t="s">
        <v>91</v>
      </c>
      <c r="B31">
        <v>1303</v>
      </c>
      <c r="C31">
        <v>531893</v>
      </c>
      <c r="D31">
        <v>1223</v>
      </c>
      <c r="E31">
        <v>529188</v>
      </c>
      <c r="F31">
        <v>0.091559</v>
      </c>
      <c r="G31">
        <v>529185</v>
      </c>
      <c r="H31">
        <v>75.4156</v>
      </c>
      <c r="I31">
        <v>529185</v>
      </c>
      <c r="J31">
        <v>308.999</v>
      </c>
      <c r="K31">
        <v>0</v>
      </c>
      <c r="L31">
        <v>0</v>
      </c>
      <c r="M31">
        <v>-1</v>
      </c>
      <c r="N31">
        <v>168</v>
      </c>
      <c r="O31">
        <v>1.15614</v>
      </c>
      <c r="P31">
        <v>168</v>
      </c>
      <c r="Q31">
        <v>600</v>
      </c>
      <c r="R31" s="1">
        <v>600</v>
      </c>
      <c r="T31">
        <f t="shared" si="0"/>
        <v>0</v>
      </c>
      <c r="U31" s="1">
        <f t="shared" si="1"/>
        <v>0</v>
      </c>
    </row>
    <row r="32" spans="1:21">
      <c r="A32" t="s">
        <v>92</v>
      </c>
      <c r="B32">
        <v>10972</v>
      </c>
      <c r="C32">
        <v>175573</v>
      </c>
      <c r="D32">
        <v>2183</v>
      </c>
      <c r="E32">
        <v>71066</v>
      </c>
      <c r="F32">
        <v>0.013113</v>
      </c>
      <c r="G32">
        <v>69253</v>
      </c>
      <c r="H32">
        <v>0.346011</v>
      </c>
      <c r="I32">
        <v>69245</v>
      </c>
      <c r="J32">
        <v>3.8437</v>
      </c>
      <c r="K32">
        <v>755</v>
      </c>
      <c r="L32">
        <v>0</v>
      </c>
      <c r="M32">
        <v>-1</v>
      </c>
      <c r="N32">
        <v>38</v>
      </c>
      <c r="O32">
        <v>0.025993</v>
      </c>
      <c r="P32">
        <v>38</v>
      </c>
      <c r="Q32">
        <v>600</v>
      </c>
      <c r="R32" s="1">
        <v>600</v>
      </c>
      <c r="T32">
        <f t="shared" si="0"/>
        <v>0</v>
      </c>
      <c r="U32" s="1">
        <f t="shared" si="1"/>
        <v>0</v>
      </c>
    </row>
    <row r="33" spans="1:21">
      <c r="A33" t="s">
        <v>93</v>
      </c>
      <c r="B33">
        <v>113</v>
      </c>
      <c r="C33">
        <v>6222</v>
      </c>
      <c r="D33">
        <v>111</v>
      </c>
      <c r="E33">
        <v>6045</v>
      </c>
      <c r="F33">
        <v>0.00065</v>
      </c>
      <c r="G33">
        <v>6045</v>
      </c>
      <c r="H33">
        <v>0.040244</v>
      </c>
      <c r="I33">
        <v>6045</v>
      </c>
      <c r="J33">
        <v>0.295065</v>
      </c>
      <c r="K33">
        <v>3023</v>
      </c>
      <c r="L33">
        <v>15</v>
      </c>
      <c r="M33">
        <v>2.1344</v>
      </c>
      <c r="N33">
        <v>93</v>
      </c>
      <c r="O33">
        <v>0.000991</v>
      </c>
      <c r="P33">
        <v>93</v>
      </c>
      <c r="Q33">
        <v>2.72645</v>
      </c>
      <c r="R33" s="1">
        <v>8.12639</v>
      </c>
      <c r="T33">
        <f t="shared" si="0"/>
        <v>1</v>
      </c>
      <c r="U33" s="1">
        <f t="shared" si="1"/>
        <v>0</v>
      </c>
    </row>
    <row r="34" spans="1:21">
      <c r="A34" t="s">
        <v>94</v>
      </c>
      <c r="B34">
        <v>1206</v>
      </c>
      <c r="C34">
        <v>65990</v>
      </c>
      <c r="D34">
        <v>541</v>
      </c>
      <c r="E34">
        <v>57408</v>
      </c>
      <c r="F34">
        <v>0.013178</v>
      </c>
      <c r="G34">
        <v>56766</v>
      </c>
      <c r="H34">
        <v>2.05834</v>
      </c>
      <c r="I34">
        <v>56762</v>
      </c>
      <c r="J34">
        <v>300.547</v>
      </c>
      <c r="K34">
        <v>720</v>
      </c>
      <c r="L34">
        <v>0</v>
      </c>
      <c r="M34">
        <v>-1</v>
      </c>
      <c r="N34">
        <v>71</v>
      </c>
      <c r="O34">
        <v>0.039878</v>
      </c>
      <c r="P34">
        <v>71</v>
      </c>
      <c r="Q34">
        <v>600</v>
      </c>
      <c r="R34" s="1">
        <v>600</v>
      </c>
      <c r="T34">
        <f t="shared" si="0"/>
        <v>0</v>
      </c>
      <c r="U34" s="1">
        <f t="shared" si="1"/>
        <v>0</v>
      </c>
    </row>
    <row r="35" spans="1:21">
      <c r="A35" t="s">
        <v>95</v>
      </c>
      <c r="B35">
        <v>17151</v>
      </c>
      <c r="C35">
        <v>24015</v>
      </c>
      <c r="D35">
        <v>384</v>
      </c>
      <c r="E35">
        <v>3009</v>
      </c>
      <c r="F35">
        <v>0.001235</v>
      </c>
      <c r="G35">
        <v>1890</v>
      </c>
      <c r="H35">
        <v>0.004375</v>
      </c>
      <c r="I35">
        <v>1863</v>
      </c>
      <c r="J35">
        <v>0.931018</v>
      </c>
      <c r="K35">
        <v>2229</v>
      </c>
      <c r="L35">
        <v>279</v>
      </c>
      <c r="M35">
        <v>5.58582</v>
      </c>
      <c r="N35">
        <v>9</v>
      </c>
      <c r="O35">
        <v>0.002615</v>
      </c>
      <c r="P35">
        <v>10</v>
      </c>
      <c r="Q35">
        <v>6.73536</v>
      </c>
      <c r="R35" s="1">
        <v>2.30888</v>
      </c>
      <c r="T35">
        <f t="shared" si="0"/>
        <v>0</v>
      </c>
      <c r="U35" s="1">
        <f t="shared" si="1"/>
        <v>1</v>
      </c>
    </row>
    <row r="36" spans="1:21">
      <c r="A36" t="s">
        <v>96</v>
      </c>
      <c r="B36">
        <v>72</v>
      </c>
      <c r="C36">
        <v>355</v>
      </c>
      <c r="D36">
        <v>18</v>
      </c>
      <c r="E36">
        <v>150</v>
      </c>
      <c r="F36" s="3" t="s">
        <v>203</v>
      </c>
      <c r="G36">
        <v>150</v>
      </c>
      <c r="H36">
        <v>0.00024</v>
      </c>
      <c r="I36">
        <v>150</v>
      </c>
      <c r="J36" s="3" t="s">
        <v>107</v>
      </c>
      <c r="K36">
        <v>1</v>
      </c>
      <c r="L36">
        <v>0</v>
      </c>
      <c r="M36">
        <v>0.00686</v>
      </c>
      <c r="N36">
        <v>15</v>
      </c>
      <c r="O36" s="3" t="s">
        <v>40</v>
      </c>
      <c r="P36">
        <v>15</v>
      </c>
      <c r="Q36">
        <v>0.016389</v>
      </c>
      <c r="R36" s="1">
        <v>0.01197</v>
      </c>
      <c r="T36">
        <f t="shared" si="0"/>
        <v>0</v>
      </c>
      <c r="U36" s="1">
        <f t="shared" si="1"/>
        <v>1</v>
      </c>
    </row>
    <row r="37" spans="1:21">
      <c r="A37" t="s">
        <v>99</v>
      </c>
      <c r="B37">
        <v>34</v>
      </c>
      <c r="C37">
        <v>96</v>
      </c>
      <c r="D37">
        <v>12</v>
      </c>
      <c r="E37">
        <v>53</v>
      </c>
      <c r="F37" s="3" t="s">
        <v>109</v>
      </c>
      <c r="G37">
        <v>53</v>
      </c>
      <c r="H37" s="3" t="s">
        <v>183</v>
      </c>
      <c r="I37">
        <v>53</v>
      </c>
      <c r="J37">
        <v>0.000655</v>
      </c>
      <c r="K37">
        <v>21</v>
      </c>
      <c r="L37">
        <v>0</v>
      </c>
      <c r="M37">
        <v>0.011506</v>
      </c>
      <c r="N37">
        <v>7</v>
      </c>
      <c r="O37" s="3" t="s">
        <v>109</v>
      </c>
      <c r="P37">
        <v>7</v>
      </c>
      <c r="Q37">
        <v>0.037972</v>
      </c>
      <c r="R37" s="1">
        <v>0.010435</v>
      </c>
      <c r="T37">
        <f t="shared" si="0"/>
        <v>0</v>
      </c>
      <c r="U37" s="1">
        <f t="shared" si="1"/>
        <v>1</v>
      </c>
    </row>
    <row r="38" spans="1:21">
      <c r="A38" t="s">
        <v>101</v>
      </c>
      <c r="B38">
        <v>72</v>
      </c>
      <c r="C38">
        <v>129</v>
      </c>
      <c r="D38">
        <v>12</v>
      </c>
      <c r="E38">
        <v>53</v>
      </c>
      <c r="F38" s="3" t="s">
        <v>83</v>
      </c>
      <c r="G38">
        <v>35</v>
      </c>
      <c r="H38" s="3" t="s">
        <v>25</v>
      </c>
      <c r="I38">
        <v>35</v>
      </c>
      <c r="J38">
        <v>0.002205</v>
      </c>
      <c r="K38">
        <v>7</v>
      </c>
      <c r="L38">
        <v>0</v>
      </c>
      <c r="M38">
        <v>0.003883</v>
      </c>
      <c r="N38">
        <v>7</v>
      </c>
      <c r="O38" s="3" t="s">
        <v>108</v>
      </c>
      <c r="P38">
        <v>7</v>
      </c>
      <c r="Q38">
        <v>0.012452</v>
      </c>
      <c r="R38" s="1">
        <v>0.016689</v>
      </c>
      <c r="T38">
        <f t="shared" si="0"/>
        <v>1</v>
      </c>
      <c r="U38" s="1">
        <f t="shared" si="1"/>
        <v>0</v>
      </c>
    </row>
    <row r="39" spans="1:21">
      <c r="A39" t="s">
        <v>104</v>
      </c>
      <c r="B39">
        <v>80</v>
      </c>
      <c r="C39">
        <v>226</v>
      </c>
      <c r="D39">
        <v>18</v>
      </c>
      <c r="E39">
        <v>103</v>
      </c>
      <c r="F39" s="3" t="s">
        <v>39</v>
      </c>
      <c r="G39">
        <v>80</v>
      </c>
      <c r="H39">
        <v>0.000126</v>
      </c>
      <c r="I39">
        <v>80</v>
      </c>
      <c r="J39">
        <v>0.00349</v>
      </c>
      <c r="K39">
        <v>26</v>
      </c>
      <c r="L39">
        <v>0</v>
      </c>
      <c r="M39">
        <v>0.00522</v>
      </c>
      <c r="N39">
        <v>8</v>
      </c>
      <c r="O39" s="3" t="s">
        <v>97</v>
      </c>
      <c r="P39">
        <v>9</v>
      </c>
      <c r="Q39">
        <v>0.015591</v>
      </c>
      <c r="R39" s="1">
        <v>0.079706</v>
      </c>
      <c r="T39">
        <f t="shared" si="0"/>
        <v>1</v>
      </c>
      <c r="U39" s="1">
        <f t="shared" si="1"/>
        <v>0</v>
      </c>
    </row>
    <row r="40" spans="1:21">
      <c r="A40" t="s">
        <v>106</v>
      </c>
      <c r="B40">
        <v>34</v>
      </c>
      <c r="C40">
        <v>41</v>
      </c>
      <c r="D40">
        <v>6</v>
      </c>
      <c r="E40">
        <v>14</v>
      </c>
      <c r="F40" s="3" t="s">
        <v>107</v>
      </c>
      <c r="G40">
        <v>14</v>
      </c>
      <c r="H40" s="3" t="s">
        <v>126</v>
      </c>
      <c r="I40">
        <v>14</v>
      </c>
      <c r="J40" s="3" t="s">
        <v>51</v>
      </c>
      <c r="K40">
        <v>2</v>
      </c>
      <c r="L40">
        <v>1</v>
      </c>
      <c r="M40">
        <v>0.00894</v>
      </c>
      <c r="N40">
        <v>4</v>
      </c>
      <c r="O40" s="3" t="s">
        <v>109</v>
      </c>
      <c r="P40">
        <v>4</v>
      </c>
      <c r="Q40">
        <v>0.028982</v>
      </c>
      <c r="R40" s="1">
        <v>0.013036</v>
      </c>
      <c r="T40">
        <f t="shared" si="0"/>
        <v>0</v>
      </c>
      <c r="U40" s="1">
        <f t="shared" si="1"/>
        <v>1</v>
      </c>
    </row>
    <row r="41" spans="1:21">
      <c r="A41" t="s">
        <v>110</v>
      </c>
      <c r="B41">
        <v>31</v>
      </c>
      <c r="C41">
        <v>39</v>
      </c>
      <c r="D41">
        <v>6</v>
      </c>
      <c r="E41">
        <v>15</v>
      </c>
      <c r="F41" s="3" t="s">
        <v>111</v>
      </c>
      <c r="G41">
        <v>15</v>
      </c>
      <c r="H41" s="3" t="s">
        <v>46</v>
      </c>
      <c r="I41">
        <v>15</v>
      </c>
      <c r="J41" s="3" t="s">
        <v>57</v>
      </c>
      <c r="K41">
        <v>1</v>
      </c>
      <c r="L41">
        <v>0</v>
      </c>
      <c r="M41">
        <v>0.004588</v>
      </c>
      <c r="N41">
        <v>5</v>
      </c>
      <c r="O41" s="3" t="s">
        <v>109</v>
      </c>
      <c r="P41">
        <v>5</v>
      </c>
      <c r="Q41">
        <v>0.020791</v>
      </c>
      <c r="R41" s="1">
        <v>0.012548</v>
      </c>
      <c r="T41">
        <f t="shared" si="0"/>
        <v>0</v>
      </c>
      <c r="U41" s="1">
        <f t="shared" si="1"/>
        <v>1</v>
      </c>
    </row>
    <row r="42" spans="1:21">
      <c r="A42" t="s">
        <v>112</v>
      </c>
      <c r="B42">
        <v>135</v>
      </c>
      <c r="C42">
        <v>1078</v>
      </c>
      <c r="D42">
        <v>38</v>
      </c>
      <c r="E42">
        <v>530</v>
      </c>
      <c r="F42" s="3" t="s">
        <v>198</v>
      </c>
      <c r="G42">
        <v>525</v>
      </c>
      <c r="H42">
        <v>0.001012</v>
      </c>
      <c r="I42">
        <v>525</v>
      </c>
      <c r="J42">
        <v>0.021218</v>
      </c>
      <c r="K42">
        <v>73</v>
      </c>
      <c r="L42">
        <v>3</v>
      </c>
      <c r="M42">
        <v>0.075996</v>
      </c>
      <c r="N42">
        <v>19</v>
      </c>
      <c r="O42">
        <v>0.000116</v>
      </c>
      <c r="P42">
        <v>19</v>
      </c>
      <c r="Q42">
        <v>0.163063</v>
      </c>
      <c r="R42" s="1">
        <v>0.056772</v>
      </c>
      <c r="T42">
        <f t="shared" si="0"/>
        <v>0</v>
      </c>
      <c r="U42" s="1">
        <f t="shared" si="1"/>
        <v>1</v>
      </c>
    </row>
    <row r="43" spans="1:21">
      <c r="A43" t="s">
        <v>114</v>
      </c>
      <c r="B43">
        <v>13</v>
      </c>
      <c r="C43">
        <v>7</v>
      </c>
      <c r="D43">
        <v>1</v>
      </c>
      <c r="E43">
        <v>0</v>
      </c>
      <c r="F43" s="3" t="s">
        <v>69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s="3" t="s">
        <v>51</v>
      </c>
      <c r="N43">
        <v>2</v>
      </c>
      <c r="O43" s="3" t="s">
        <v>26</v>
      </c>
      <c r="P43">
        <v>2</v>
      </c>
      <c r="Q43">
        <v>0.011577</v>
      </c>
      <c r="R43" s="1">
        <v>0.005966</v>
      </c>
      <c r="T43">
        <f t="shared" si="0"/>
        <v>0</v>
      </c>
      <c r="U43" s="1">
        <f t="shared" si="1"/>
        <v>1</v>
      </c>
    </row>
    <row r="44" spans="1:21">
      <c r="A44" t="s">
        <v>115</v>
      </c>
      <c r="B44">
        <v>5</v>
      </c>
      <c r="C44">
        <v>6</v>
      </c>
      <c r="D44">
        <v>4</v>
      </c>
      <c r="E44">
        <v>5</v>
      </c>
      <c r="F44" s="3" t="s">
        <v>69</v>
      </c>
      <c r="G44">
        <v>5</v>
      </c>
      <c r="H44" s="3" t="s">
        <v>107</v>
      </c>
      <c r="I44">
        <v>5</v>
      </c>
      <c r="J44" s="3" t="s">
        <v>51</v>
      </c>
      <c r="K44">
        <v>2</v>
      </c>
      <c r="L44">
        <v>1</v>
      </c>
      <c r="M44">
        <v>0.008265</v>
      </c>
      <c r="N44">
        <v>2</v>
      </c>
      <c r="O44" s="3" t="s">
        <v>116</v>
      </c>
      <c r="P44">
        <v>2</v>
      </c>
      <c r="Q44">
        <v>0.019007</v>
      </c>
      <c r="R44" s="1">
        <v>0.010384</v>
      </c>
      <c r="T44">
        <f t="shared" si="0"/>
        <v>0</v>
      </c>
      <c r="U44" s="1">
        <f t="shared" si="1"/>
        <v>1</v>
      </c>
    </row>
    <row r="45" spans="1:21">
      <c r="A45" t="s">
        <v>117</v>
      </c>
      <c r="B45">
        <v>22</v>
      </c>
      <c r="C45">
        <v>12</v>
      </c>
      <c r="D45">
        <v>2</v>
      </c>
      <c r="E45">
        <v>1</v>
      </c>
      <c r="F45" s="3" t="s">
        <v>69</v>
      </c>
      <c r="G45">
        <v>0</v>
      </c>
      <c r="H45" s="3" t="s">
        <v>69</v>
      </c>
      <c r="I45">
        <v>0</v>
      </c>
      <c r="J45">
        <v>0</v>
      </c>
      <c r="K45">
        <v>0</v>
      </c>
      <c r="L45">
        <v>0</v>
      </c>
      <c r="M45">
        <v>0.036168</v>
      </c>
      <c r="N45">
        <v>2</v>
      </c>
      <c r="O45" s="3" t="s">
        <v>111</v>
      </c>
      <c r="P45">
        <v>2</v>
      </c>
      <c r="Q45">
        <v>0.061001</v>
      </c>
      <c r="R45" s="1">
        <v>0.008244</v>
      </c>
      <c r="T45">
        <f t="shared" si="0"/>
        <v>0</v>
      </c>
      <c r="U45" s="1">
        <f t="shared" si="1"/>
        <v>1</v>
      </c>
    </row>
    <row r="46" spans="1:21">
      <c r="A46" t="s">
        <v>118</v>
      </c>
      <c r="B46">
        <v>62</v>
      </c>
      <c r="C46">
        <v>442</v>
      </c>
      <c r="D46">
        <v>22</v>
      </c>
      <c r="E46">
        <v>207</v>
      </c>
      <c r="F46" s="3" t="s">
        <v>181</v>
      </c>
      <c r="G46">
        <v>168</v>
      </c>
      <c r="H46">
        <v>0.000404</v>
      </c>
      <c r="I46">
        <v>168</v>
      </c>
      <c r="J46">
        <v>0.014995</v>
      </c>
      <c r="K46">
        <v>15</v>
      </c>
      <c r="L46">
        <v>0</v>
      </c>
      <c r="M46">
        <v>0.009749</v>
      </c>
      <c r="N46">
        <v>16</v>
      </c>
      <c r="O46" s="3" t="s">
        <v>188</v>
      </c>
      <c r="P46">
        <v>16</v>
      </c>
      <c r="Q46">
        <v>0.038433</v>
      </c>
      <c r="R46" s="1">
        <v>0.017695</v>
      </c>
      <c r="T46">
        <f t="shared" si="0"/>
        <v>0</v>
      </c>
      <c r="U46" s="1">
        <f t="shared" si="1"/>
        <v>1</v>
      </c>
    </row>
    <row r="47" spans="1:21">
      <c r="A47" t="s">
        <v>120</v>
      </c>
      <c r="B47">
        <v>21</v>
      </c>
      <c r="C47">
        <v>23</v>
      </c>
      <c r="D47">
        <v>6</v>
      </c>
      <c r="E47">
        <v>15</v>
      </c>
      <c r="F47" s="3" t="s">
        <v>26</v>
      </c>
      <c r="G47">
        <v>15</v>
      </c>
      <c r="H47" s="3" t="s">
        <v>121</v>
      </c>
      <c r="I47">
        <v>15</v>
      </c>
      <c r="J47" s="3" t="s">
        <v>57</v>
      </c>
      <c r="K47">
        <v>1</v>
      </c>
      <c r="L47">
        <v>0</v>
      </c>
      <c r="M47">
        <v>0.005126</v>
      </c>
      <c r="N47">
        <v>5</v>
      </c>
      <c r="O47" s="3" t="s">
        <v>26</v>
      </c>
      <c r="P47">
        <v>5</v>
      </c>
      <c r="Q47">
        <v>0.024735</v>
      </c>
      <c r="R47" s="1">
        <v>0.007948</v>
      </c>
      <c r="T47">
        <f t="shared" si="0"/>
        <v>0</v>
      </c>
      <c r="U47" s="1">
        <f t="shared" si="1"/>
        <v>1</v>
      </c>
    </row>
    <row r="48" spans="1:21">
      <c r="A48" t="s">
        <v>122</v>
      </c>
      <c r="B48">
        <v>10</v>
      </c>
      <c r="C48">
        <v>5</v>
      </c>
      <c r="D48">
        <v>0</v>
      </c>
      <c r="E48">
        <v>0</v>
      </c>
      <c r="F48" s="3" t="s">
        <v>57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3" t="s">
        <v>57</v>
      </c>
      <c r="N48">
        <v>2</v>
      </c>
      <c r="O48" s="3" t="s">
        <v>51</v>
      </c>
      <c r="P48">
        <v>2</v>
      </c>
      <c r="Q48">
        <v>0.005943</v>
      </c>
      <c r="R48" s="1">
        <v>0.005828</v>
      </c>
      <c r="T48">
        <f t="shared" si="0"/>
        <v>0</v>
      </c>
      <c r="U48" s="1">
        <f t="shared" si="1"/>
        <v>1</v>
      </c>
    </row>
    <row r="49" spans="1:21">
      <c r="A49" t="s">
        <v>123</v>
      </c>
      <c r="B49">
        <v>27</v>
      </c>
      <c r="C49">
        <v>26</v>
      </c>
      <c r="D49">
        <v>12</v>
      </c>
      <c r="E49">
        <v>16</v>
      </c>
      <c r="F49" s="3" t="s">
        <v>116</v>
      </c>
      <c r="G49">
        <v>13</v>
      </c>
      <c r="H49" s="3" t="s">
        <v>121</v>
      </c>
      <c r="I49">
        <v>10</v>
      </c>
      <c r="J49">
        <v>0.001238</v>
      </c>
      <c r="K49">
        <v>4</v>
      </c>
      <c r="L49">
        <v>1</v>
      </c>
      <c r="M49">
        <v>0.00776</v>
      </c>
      <c r="N49">
        <v>2</v>
      </c>
      <c r="O49" s="3" t="s">
        <v>107</v>
      </c>
      <c r="P49">
        <v>3</v>
      </c>
      <c r="Q49">
        <v>0.022295</v>
      </c>
      <c r="R49" s="1">
        <v>0.013144</v>
      </c>
      <c r="T49">
        <f t="shared" si="0"/>
        <v>0</v>
      </c>
      <c r="U49" s="1">
        <f t="shared" si="1"/>
        <v>1</v>
      </c>
    </row>
    <row r="50" spans="1:21">
      <c r="A50" t="s">
        <v>124</v>
      </c>
      <c r="B50">
        <v>273</v>
      </c>
      <c r="C50">
        <v>4510</v>
      </c>
      <c r="D50">
        <v>118</v>
      </c>
      <c r="E50">
        <v>3319</v>
      </c>
      <c r="F50">
        <v>0.000491</v>
      </c>
      <c r="G50">
        <v>3304</v>
      </c>
      <c r="H50">
        <v>0.016787</v>
      </c>
      <c r="I50">
        <v>3304</v>
      </c>
      <c r="J50">
        <v>1.21919</v>
      </c>
      <c r="K50">
        <v>1820</v>
      </c>
      <c r="L50">
        <v>26</v>
      </c>
      <c r="M50">
        <v>1.14551</v>
      </c>
      <c r="N50">
        <v>25</v>
      </c>
      <c r="O50">
        <v>0.000883</v>
      </c>
      <c r="P50">
        <v>32</v>
      </c>
      <c r="Q50">
        <v>2.4366</v>
      </c>
      <c r="R50" s="1">
        <v>1.52971</v>
      </c>
      <c r="T50">
        <f t="shared" si="0"/>
        <v>0</v>
      </c>
      <c r="U50" s="1">
        <f t="shared" si="1"/>
        <v>1</v>
      </c>
    </row>
    <row r="51" spans="1:21">
      <c r="A51" t="s">
        <v>125</v>
      </c>
      <c r="B51">
        <v>102</v>
      </c>
      <c r="C51">
        <v>108</v>
      </c>
      <c r="D51">
        <v>11</v>
      </c>
      <c r="E51">
        <v>33</v>
      </c>
      <c r="F51" s="3" t="s">
        <v>56</v>
      </c>
      <c r="G51">
        <v>33</v>
      </c>
      <c r="H51" s="3" t="s">
        <v>105</v>
      </c>
      <c r="I51">
        <v>33</v>
      </c>
      <c r="J51">
        <v>0.002109</v>
      </c>
      <c r="K51">
        <v>8</v>
      </c>
      <c r="L51">
        <v>0</v>
      </c>
      <c r="M51">
        <v>0.009041</v>
      </c>
      <c r="N51">
        <v>4</v>
      </c>
      <c r="O51" s="3" t="s">
        <v>126</v>
      </c>
      <c r="P51">
        <v>5</v>
      </c>
      <c r="Q51">
        <v>0.021769</v>
      </c>
      <c r="R51" s="1">
        <v>0.009102</v>
      </c>
      <c r="T51">
        <f t="shared" si="0"/>
        <v>0</v>
      </c>
      <c r="U51" s="1">
        <f t="shared" si="1"/>
        <v>1</v>
      </c>
    </row>
    <row r="52" spans="1:21">
      <c r="A52" t="s">
        <v>127</v>
      </c>
      <c r="B52">
        <v>8</v>
      </c>
      <c r="C52">
        <v>4</v>
      </c>
      <c r="D52">
        <v>0</v>
      </c>
      <c r="E52">
        <v>0</v>
      </c>
      <c r="F52" s="3" t="s">
        <v>57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s="3" t="s">
        <v>57</v>
      </c>
      <c r="N52">
        <v>2</v>
      </c>
      <c r="O52" s="3" t="s">
        <v>51</v>
      </c>
      <c r="P52">
        <v>2</v>
      </c>
      <c r="Q52">
        <v>0.005394</v>
      </c>
      <c r="R52" s="1">
        <v>0.010601</v>
      </c>
      <c r="T52">
        <f t="shared" si="0"/>
        <v>1</v>
      </c>
      <c r="U52" s="1">
        <f t="shared" si="1"/>
        <v>0</v>
      </c>
    </row>
    <row r="53" spans="1:21">
      <c r="A53" t="s">
        <v>128</v>
      </c>
      <c r="B53">
        <v>55</v>
      </c>
      <c r="C53">
        <v>60</v>
      </c>
      <c r="D53">
        <v>8</v>
      </c>
      <c r="E53">
        <v>20</v>
      </c>
      <c r="F53" s="3" t="s">
        <v>107</v>
      </c>
      <c r="G53">
        <v>10</v>
      </c>
      <c r="H53" s="3" t="s">
        <v>126</v>
      </c>
      <c r="I53">
        <v>10</v>
      </c>
      <c r="J53">
        <v>0.001287</v>
      </c>
      <c r="K53">
        <v>4</v>
      </c>
      <c r="L53">
        <v>0</v>
      </c>
      <c r="M53">
        <v>0.003544</v>
      </c>
      <c r="N53">
        <v>4</v>
      </c>
      <c r="O53" s="3" t="s">
        <v>121</v>
      </c>
      <c r="P53">
        <v>4</v>
      </c>
      <c r="Q53">
        <v>0.011124</v>
      </c>
      <c r="R53" s="1">
        <v>0.009275</v>
      </c>
      <c r="T53">
        <f t="shared" si="0"/>
        <v>0</v>
      </c>
      <c r="U53" s="1">
        <f t="shared" si="1"/>
        <v>1</v>
      </c>
    </row>
    <row r="54" spans="1:21">
      <c r="A54" t="s">
        <v>129</v>
      </c>
      <c r="B54">
        <v>127</v>
      </c>
      <c r="C54">
        <v>931</v>
      </c>
      <c r="D54">
        <v>42</v>
      </c>
      <c r="E54">
        <v>509</v>
      </c>
      <c r="F54" s="3" t="s">
        <v>206</v>
      </c>
      <c r="G54">
        <v>504</v>
      </c>
      <c r="H54">
        <v>0.000866</v>
      </c>
      <c r="I54">
        <v>504</v>
      </c>
      <c r="J54">
        <v>0.029853</v>
      </c>
      <c r="K54">
        <v>114</v>
      </c>
      <c r="L54">
        <v>3</v>
      </c>
      <c r="M54">
        <v>0.016731</v>
      </c>
      <c r="N54">
        <v>15</v>
      </c>
      <c r="O54" s="3" t="s">
        <v>171</v>
      </c>
      <c r="P54">
        <v>16</v>
      </c>
      <c r="Q54">
        <v>0.056399</v>
      </c>
      <c r="R54" s="1">
        <v>0.04873</v>
      </c>
      <c r="T54">
        <f t="shared" si="0"/>
        <v>0</v>
      </c>
      <c r="U54" s="1">
        <f t="shared" si="1"/>
        <v>1</v>
      </c>
    </row>
    <row r="55" spans="1:21">
      <c r="A55" t="s">
        <v>131</v>
      </c>
      <c r="B55">
        <v>16</v>
      </c>
      <c r="C55">
        <v>13</v>
      </c>
      <c r="D55">
        <v>5</v>
      </c>
      <c r="E55">
        <v>5</v>
      </c>
      <c r="F55" s="3" t="s">
        <v>51</v>
      </c>
      <c r="G55">
        <v>5</v>
      </c>
      <c r="H55" s="3" t="s">
        <v>69</v>
      </c>
      <c r="I55">
        <v>5</v>
      </c>
      <c r="J55" s="3" t="s">
        <v>57</v>
      </c>
      <c r="K55">
        <v>2</v>
      </c>
      <c r="L55">
        <v>1</v>
      </c>
      <c r="M55">
        <v>0.004035</v>
      </c>
      <c r="N55">
        <v>2</v>
      </c>
      <c r="O55" s="3" t="s">
        <v>69</v>
      </c>
      <c r="P55">
        <v>2</v>
      </c>
      <c r="Q55">
        <v>0.009913</v>
      </c>
      <c r="R55" s="1">
        <v>0.040694</v>
      </c>
      <c r="T55">
        <f t="shared" si="0"/>
        <v>1</v>
      </c>
      <c r="U55" s="1">
        <f t="shared" si="1"/>
        <v>0</v>
      </c>
    </row>
    <row r="56" spans="1:21">
      <c r="A56" t="s">
        <v>132</v>
      </c>
      <c r="B56">
        <v>35</v>
      </c>
      <c r="C56">
        <v>368</v>
      </c>
      <c r="D56">
        <v>27</v>
      </c>
      <c r="E56">
        <v>351</v>
      </c>
      <c r="F56" s="3" t="s">
        <v>45</v>
      </c>
      <c r="G56">
        <v>351</v>
      </c>
      <c r="H56">
        <v>0.00048</v>
      </c>
      <c r="I56">
        <v>351</v>
      </c>
      <c r="J56" s="3" t="s">
        <v>111</v>
      </c>
      <c r="K56">
        <v>1</v>
      </c>
      <c r="L56">
        <v>0</v>
      </c>
      <c r="M56">
        <v>0.00801</v>
      </c>
      <c r="N56">
        <v>26</v>
      </c>
      <c r="O56" s="3" t="s">
        <v>159</v>
      </c>
      <c r="P56">
        <v>26</v>
      </c>
      <c r="Q56">
        <v>0.015633</v>
      </c>
      <c r="R56" s="1">
        <v>0.019321</v>
      </c>
      <c r="T56">
        <f t="shared" si="0"/>
        <v>1</v>
      </c>
      <c r="U56" s="1">
        <f t="shared" si="1"/>
        <v>0</v>
      </c>
    </row>
    <row r="57" spans="1:21">
      <c r="A57" t="s">
        <v>134</v>
      </c>
      <c r="B57">
        <v>26</v>
      </c>
      <c r="C57">
        <v>15</v>
      </c>
      <c r="D57">
        <v>3</v>
      </c>
      <c r="E57">
        <v>1</v>
      </c>
      <c r="F57" s="3" t="s">
        <v>69</v>
      </c>
      <c r="G57">
        <v>0</v>
      </c>
      <c r="H57" s="3" t="s">
        <v>69</v>
      </c>
      <c r="I57">
        <v>0</v>
      </c>
      <c r="J57" s="3" t="s">
        <v>57</v>
      </c>
      <c r="K57">
        <v>0</v>
      </c>
      <c r="L57">
        <v>0</v>
      </c>
      <c r="M57">
        <v>0.003383</v>
      </c>
      <c r="N57">
        <v>2</v>
      </c>
      <c r="O57" s="3" t="s">
        <v>107</v>
      </c>
      <c r="P57">
        <v>2</v>
      </c>
      <c r="Q57">
        <v>0.010849</v>
      </c>
      <c r="R57" s="1">
        <v>0.005125</v>
      </c>
      <c r="T57">
        <f t="shared" si="0"/>
        <v>0</v>
      </c>
      <c r="U57" s="1">
        <f t="shared" si="1"/>
        <v>1</v>
      </c>
    </row>
    <row r="58" spans="1:21">
      <c r="A58" t="s">
        <v>135</v>
      </c>
      <c r="B58">
        <v>14</v>
      </c>
      <c r="C58">
        <v>11</v>
      </c>
      <c r="D58">
        <v>5</v>
      </c>
      <c r="E58">
        <v>3</v>
      </c>
      <c r="F58" s="3" t="s">
        <v>69</v>
      </c>
      <c r="G58">
        <v>3</v>
      </c>
      <c r="H58" s="3" t="s">
        <v>69</v>
      </c>
      <c r="I58">
        <v>3</v>
      </c>
      <c r="J58">
        <v>0</v>
      </c>
      <c r="K58">
        <v>1</v>
      </c>
      <c r="L58">
        <v>0</v>
      </c>
      <c r="M58">
        <v>0.00406</v>
      </c>
      <c r="N58">
        <v>2</v>
      </c>
      <c r="O58" s="3" t="s">
        <v>26</v>
      </c>
      <c r="P58">
        <v>2</v>
      </c>
      <c r="Q58">
        <v>0.015658</v>
      </c>
      <c r="R58" s="1">
        <v>0.015242</v>
      </c>
      <c r="T58">
        <f t="shared" si="0"/>
        <v>0</v>
      </c>
      <c r="U58" s="1">
        <f t="shared" si="1"/>
        <v>1</v>
      </c>
    </row>
    <row r="59" spans="1:21">
      <c r="A59" t="s">
        <v>136</v>
      </c>
      <c r="B59">
        <v>28</v>
      </c>
      <c r="C59">
        <v>91</v>
      </c>
      <c r="D59">
        <v>12</v>
      </c>
      <c r="E59">
        <v>55</v>
      </c>
      <c r="F59" s="3" t="s">
        <v>46</v>
      </c>
      <c r="G59">
        <v>55</v>
      </c>
      <c r="H59" s="3" t="s">
        <v>212</v>
      </c>
      <c r="I59">
        <v>55</v>
      </c>
      <c r="J59">
        <v>0.001115</v>
      </c>
      <c r="K59">
        <v>21</v>
      </c>
      <c r="L59">
        <v>0</v>
      </c>
      <c r="M59">
        <v>0.006297</v>
      </c>
      <c r="N59">
        <v>7</v>
      </c>
      <c r="O59" s="3" t="s">
        <v>46</v>
      </c>
      <c r="P59">
        <v>7</v>
      </c>
      <c r="Q59">
        <v>0.015534</v>
      </c>
      <c r="R59" s="1">
        <v>0.008064</v>
      </c>
      <c r="T59">
        <f t="shared" si="0"/>
        <v>0</v>
      </c>
      <c r="U59" s="1">
        <f t="shared" si="1"/>
        <v>1</v>
      </c>
    </row>
    <row r="60" spans="1:21">
      <c r="A60" t="s">
        <v>138</v>
      </c>
      <c r="B60">
        <v>26</v>
      </c>
      <c r="C60">
        <v>18</v>
      </c>
      <c r="D60">
        <v>6</v>
      </c>
      <c r="E60">
        <v>6</v>
      </c>
      <c r="F60" s="3" t="s">
        <v>116</v>
      </c>
      <c r="G60">
        <v>5</v>
      </c>
      <c r="H60" s="3" t="s">
        <v>111</v>
      </c>
      <c r="I60">
        <v>4</v>
      </c>
      <c r="J60">
        <v>0.001162</v>
      </c>
      <c r="K60">
        <v>1</v>
      </c>
      <c r="L60">
        <v>0</v>
      </c>
      <c r="M60">
        <v>0.017141</v>
      </c>
      <c r="N60">
        <v>2</v>
      </c>
      <c r="O60" s="3" t="s">
        <v>109</v>
      </c>
      <c r="P60">
        <v>2</v>
      </c>
      <c r="Q60">
        <v>0.029534</v>
      </c>
      <c r="R60" s="1">
        <v>0.041192</v>
      </c>
      <c r="T60">
        <f t="shared" si="0"/>
        <v>1</v>
      </c>
      <c r="U60" s="1">
        <f t="shared" si="1"/>
        <v>0</v>
      </c>
    </row>
    <row r="61" spans="1:21">
      <c r="A61" t="s">
        <v>139</v>
      </c>
      <c r="B61">
        <v>13</v>
      </c>
      <c r="C61">
        <v>8</v>
      </c>
      <c r="D61">
        <v>2</v>
      </c>
      <c r="E61">
        <v>1</v>
      </c>
      <c r="F61" s="3" t="s">
        <v>51</v>
      </c>
      <c r="G61">
        <v>0</v>
      </c>
      <c r="H61" s="3" t="s">
        <v>51</v>
      </c>
      <c r="I61">
        <v>0</v>
      </c>
      <c r="J61">
        <v>0</v>
      </c>
      <c r="K61">
        <v>0</v>
      </c>
      <c r="L61">
        <v>0</v>
      </c>
      <c r="M61">
        <v>0.002564</v>
      </c>
      <c r="N61">
        <v>2</v>
      </c>
      <c r="O61" s="3" t="s">
        <v>69</v>
      </c>
      <c r="P61">
        <v>2</v>
      </c>
      <c r="Q61">
        <v>0.011137</v>
      </c>
      <c r="R61" s="1">
        <v>0.007154</v>
      </c>
      <c r="T61">
        <f t="shared" si="0"/>
        <v>0</v>
      </c>
      <c r="U61" s="1">
        <f t="shared" si="1"/>
        <v>1</v>
      </c>
    </row>
    <row r="62" spans="1:21">
      <c r="A62" t="s">
        <v>140</v>
      </c>
      <c r="B62">
        <v>18</v>
      </c>
      <c r="C62">
        <v>12</v>
      </c>
      <c r="D62">
        <v>5</v>
      </c>
      <c r="E62">
        <v>3</v>
      </c>
      <c r="F62" s="3" t="s">
        <v>69</v>
      </c>
      <c r="G62">
        <v>3</v>
      </c>
      <c r="H62" s="3" t="s">
        <v>26</v>
      </c>
      <c r="I62">
        <v>3</v>
      </c>
      <c r="J62" s="3" t="s">
        <v>57</v>
      </c>
      <c r="K62">
        <v>1</v>
      </c>
      <c r="L62">
        <v>0</v>
      </c>
      <c r="M62">
        <v>0.003889</v>
      </c>
      <c r="N62">
        <v>2</v>
      </c>
      <c r="O62" s="3" t="s">
        <v>116</v>
      </c>
      <c r="P62">
        <v>2</v>
      </c>
      <c r="Q62">
        <v>0.011694</v>
      </c>
      <c r="R62" s="1">
        <v>0.012869</v>
      </c>
      <c r="T62">
        <f t="shared" si="0"/>
        <v>1</v>
      </c>
      <c r="U62" s="1">
        <f t="shared" si="1"/>
        <v>0</v>
      </c>
    </row>
    <row r="63" spans="1:21">
      <c r="A63" t="s">
        <v>141</v>
      </c>
      <c r="B63">
        <v>7</v>
      </c>
      <c r="C63">
        <v>5</v>
      </c>
      <c r="D63">
        <v>3</v>
      </c>
      <c r="E63">
        <v>3</v>
      </c>
      <c r="F63" s="3" t="s">
        <v>26</v>
      </c>
      <c r="G63">
        <v>3</v>
      </c>
      <c r="H63" s="3" t="s">
        <v>107</v>
      </c>
      <c r="I63">
        <v>3</v>
      </c>
      <c r="J63" s="3" t="s">
        <v>51</v>
      </c>
      <c r="K63">
        <v>1</v>
      </c>
      <c r="L63">
        <v>0</v>
      </c>
      <c r="M63">
        <v>0.007229</v>
      </c>
      <c r="N63">
        <v>2</v>
      </c>
      <c r="O63" s="3" t="s">
        <v>56</v>
      </c>
      <c r="P63">
        <v>2</v>
      </c>
      <c r="Q63">
        <v>0.02219</v>
      </c>
      <c r="R63" s="1">
        <v>0.016269</v>
      </c>
      <c r="T63">
        <f t="shared" si="0"/>
        <v>0</v>
      </c>
      <c r="U63" s="1">
        <f t="shared" si="1"/>
        <v>1</v>
      </c>
    </row>
    <row r="64" spans="1:21">
      <c r="A64" t="s">
        <v>142</v>
      </c>
      <c r="B64">
        <v>2623</v>
      </c>
      <c r="C64">
        <v>473614</v>
      </c>
      <c r="D64">
        <v>1356</v>
      </c>
      <c r="E64">
        <v>463254</v>
      </c>
      <c r="F64">
        <v>0.100196</v>
      </c>
      <c r="G64">
        <v>-1</v>
      </c>
      <c r="H64">
        <v>67.9955</v>
      </c>
      <c r="I64">
        <v>-1</v>
      </c>
      <c r="J64">
        <v>-1</v>
      </c>
      <c r="K64">
        <v>0</v>
      </c>
      <c r="L64">
        <v>0</v>
      </c>
      <c r="M64">
        <v>-1</v>
      </c>
      <c r="N64">
        <v>111</v>
      </c>
      <c r="O64">
        <v>1.41232</v>
      </c>
      <c r="P64">
        <v>111</v>
      </c>
      <c r="Q64">
        <v>600</v>
      </c>
      <c r="R64" s="1">
        <v>600</v>
      </c>
      <c r="T64">
        <f t="shared" si="0"/>
        <v>0</v>
      </c>
      <c r="U64" s="1">
        <f t="shared" si="1"/>
        <v>0</v>
      </c>
    </row>
    <row r="65" spans="1:21">
      <c r="A65" t="s">
        <v>143</v>
      </c>
      <c r="B65">
        <v>56739</v>
      </c>
      <c r="C65">
        <v>212945</v>
      </c>
      <c r="D65">
        <v>12654</v>
      </c>
      <c r="E65">
        <v>130557</v>
      </c>
      <c r="F65">
        <v>0.026072</v>
      </c>
      <c r="G65">
        <v>57149</v>
      </c>
      <c r="H65">
        <v>0.240313</v>
      </c>
      <c r="I65">
        <v>56997</v>
      </c>
      <c r="J65">
        <v>0.390608</v>
      </c>
      <c r="K65">
        <v>646</v>
      </c>
      <c r="L65">
        <v>0</v>
      </c>
      <c r="M65">
        <v>-1</v>
      </c>
      <c r="N65">
        <v>6</v>
      </c>
      <c r="O65">
        <v>0.019266</v>
      </c>
      <c r="P65">
        <v>6</v>
      </c>
      <c r="Q65">
        <v>600</v>
      </c>
      <c r="R65" s="1">
        <v>600</v>
      </c>
      <c r="T65">
        <f t="shared" si="0"/>
        <v>0</v>
      </c>
      <c r="U65" s="1">
        <f t="shared" si="1"/>
        <v>0</v>
      </c>
    </row>
    <row r="66" spans="1:21">
      <c r="A66" t="s">
        <v>144</v>
      </c>
      <c r="B66">
        <v>62</v>
      </c>
      <c r="C66">
        <v>159</v>
      </c>
      <c r="D66">
        <v>31</v>
      </c>
      <c r="E66">
        <v>90</v>
      </c>
      <c r="F66" s="3" t="s">
        <v>186</v>
      </c>
      <c r="G66">
        <v>0</v>
      </c>
      <c r="H66" s="3" t="s">
        <v>184</v>
      </c>
      <c r="I66">
        <v>0</v>
      </c>
      <c r="J66" s="3" t="s">
        <v>57</v>
      </c>
      <c r="K66">
        <v>0</v>
      </c>
      <c r="L66">
        <v>0</v>
      </c>
      <c r="M66">
        <v>0.009017</v>
      </c>
      <c r="N66">
        <v>5</v>
      </c>
      <c r="O66" s="3" t="s">
        <v>44</v>
      </c>
      <c r="P66">
        <v>5</v>
      </c>
      <c r="Q66">
        <v>0.017185</v>
      </c>
      <c r="R66" s="1">
        <v>0.009444</v>
      </c>
      <c r="T66">
        <f t="shared" ref="T66:T96" si="2">IF(Q66&lt;R66,1,0)</f>
        <v>0</v>
      </c>
      <c r="U66" s="1">
        <f t="shared" ref="U66:U96" si="3">IF(R66&lt;Q66,1,0)</f>
        <v>1</v>
      </c>
    </row>
    <row r="67" spans="1:21">
      <c r="A67" t="s">
        <v>145</v>
      </c>
      <c r="B67">
        <v>154908</v>
      </c>
      <c r="C67">
        <v>327162</v>
      </c>
      <c r="D67">
        <v>29489</v>
      </c>
      <c r="E67">
        <v>179659</v>
      </c>
      <c r="F67">
        <v>0.045544</v>
      </c>
      <c r="G67">
        <v>23461</v>
      </c>
      <c r="H67">
        <v>0.15402</v>
      </c>
      <c r="I67">
        <v>23106</v>
      </c>
      <c r="J67">
        <v>0.133538</v>
      </c>
      <c r="K67">
        <v>1720</v>
      </c>
      <c r="L67">
        <v>334</v>
      </c>
      <c r="M67">
        <v>-1</v>
      </c>
      <c r="N67">
        <v>3</v>
      </c>
      <c r="O67">
        <v>0.033614</v>
      </c>
      <c r="P67">
        <v>3</v>
      </c>
      <c r="Q67">
        <v>600</v>
      </c>
      <c r="R67" s="1">
        <v>600</v>
      </c>
      <c r="T67">
        <f t="shared" si="2"/>
        <v>0</v>
      </c>
      <c r="U67" s="1">
        <f t="shared" si="3"/>
        <v>0</v>
      </c>
    </row>
    <row r="68" spans="1:21">
      <c r="A68" t="s">
        <v>146</v>
      </c>
      <c r="B68">
        <v>26588</v>
      </c>
      <c r="C68">
        <v>100120</v>
      </c>
      <c r="D68">
        <v>6237</v>
      </c>
      <c r="E68">
        <v>68623</v>
      </c>
      <c r="F68">
        <v>0.019073</v>
      </c>
      <c r="G68">
        <v>30440</v>
      </c>
      <c r="H68">
        <v>0.184867</v>
      </c>
      <c r="I68">
        <v>30215</v>
      </c>
      <c r="J68">
        <v>0.904953</v>
      </c>
      <c r="K68">
        <v>709</v>
      </c>
      <c r="L68">
        <v>0</v>
      </c>
      <c r="M68">
        <v>-1</v>
      </c>
      <c r="N68">
        <v>5</v>
      </c>
      <c r="O68">
        <v>0.015872</v>
      </c>
      <c r="P68">
        <v>5</v>
      </c>
      <c r="Q68">
        <v>600</v>
      </c>
      <c r="R68" s="1">
        <v>600</v>
      </c>
      <c r="T68">
        <f t="shared" si="2"/>
        <v>0</v>
      </c>
      <c r="U68" s="1">
        <f t="shared" si="3"/>
        <v>0</v>
      </c>
    </row>
    <row r="69" spans="1:21">
      <c r="A69" t="s">
        <v>147</v>
      </c>
      <c r="B69">
        <v>22900</v>
      </c>
      <c r="C69">
        <v>852419</v>
      </c>
      <c r="D69">
        <v>19597</v>
      </c>
      <c r="E69">
        <v>837455</v>
      </c>
      <c r="F69">
        <v>0.22549</v>
      </c>
      <c r="G69">
        <v>477729</v>
      </c>
      <c r="H69">
        <v>9.7125</v>
      </c>
      <c r="I69">
        <v>477465</v>
      </c>
      <c r="J69">
        <v>0.666061</v>
      </c>
      <c r="K69">
        <v>547</v>
      </c>
      <c r="L69">
        <v>0</v>
      </c>
      <c r="M69">
        <v>-1</v>
      </c>
      <c r="N69">
        <v>11</v>
      </c>
      <c r="O69">
        <v>0.237067</v>
      </c>
      <c r="P69">
        <v>11</v>
      </c>
      <c r="Q69">
        <v>600</v>
      </c>
      <c r="R69" s="1">
        <v>600</v>
      </c>
      <c r="T69">
        <f t="shared" si="2"/>
        <v>0</v>
      </c>
      <c r="U69" s="1">
        <f t="shared" si="3"/>
        <v>0</v>
      </c>
    </row>
    <row r="70" spans="1:21">
      <c r="A70" t="s">
        <v>148</v>
      </c>
      <c r="B70">
        <v>6621</v>
      </c>
      <c r="C70">
        <v>249959</v>
      </c>
      <c r="D70">
        <v>5636</v>
      </c>
      <c r="E70">
        <v>245534</v>
      </c>
      <c r="F70">
        <v>0.039837</v>
      </c>
      <c r="G70">
        <v>182874</v>
      </c>
      <c r="H70">
        <v>1.58698</v>
      </c>
      <c r="I70">
        <v>182632</v>
      </c>
      <c r="J70">
        <v>0.470839</v>
      </c>
      <c r="K70">
        <v>468</v>
      </c>
      <c r="L70">
        <v>0</v>
      </c>
      <c r="M70">
        <v>-1</v>
      </c>
      <c r="N70">
        <v>11</v>
      </c>
      <c r="O70">
        <v>0.038996</v>
      </c>
      <c r="P70">
        <v>11</v>
      </c>
      <c r="Q70">
        <v>600</v>
      </c>
      <c r="R70" s="1">
        <v>600</v>
      </c>
      <c r="T70">
        <f t="shared" si="2"/>
        <v>0</v>
      </c>
      <c r="U70" s="1">
        <f t="shared" si="3"/>
        <v>0</v>
      </c>
    </row>
    <row r="71" spans="1:21">
      <c r="A71" t="s">
        <v>149</v>
      </c>
      <c r="B71">
        <v>9885</v>
      </c>
      <c r="C71">
        <v>506437</v>
      </c>
      <c r="D71">
        <v>8750</v>
      </c>
      <c r="E71">
        <v>502140</v>
      </c>
      <c r="F71">
        <v>0.09684</v>
      </c>
      <c r="G71">
        <v>411412</v>
      </c>
      <c r="H71">
        <v>4.32508</v>
      </c>
      <c r="I71">
        <v>411201</v>
      </c>
      <c r="J71">
        <v>0.449244</v>
      </c>
      <c r="K71">
        <v>521</v>
      </c>
      <c r="L71">
        <v>0</v>
      </c>
      <c r="M71">
        <v>-1</v>
      </c>
      <c r="N71">
        <v>10</v>
      </c>
      <c r="O71">
        <v>0.105577</v>
      </c>
      <c r="P71">
        <v>10</v>
      </c>
      <c r="Q71">
        <v>600</v>
      </c>
      <c r="R71" s="1">
        <v>600</v>
      </c>
      <c r="T71">
        <f t="shared" si="2"/>
        <v>0</v>
      </c>
      <c r="U71" s="1">
        <f t="shared" si="3"/>
        <v>0</v>
      </c>
    </row>
    <row r="72" spans="1:21">
      <c r="A72" t="s">
        <v>150</v>
      </c>
      <c r="B72">
        <v>6402</v>
      </c>
      <c r="C72">
        <v>251230</v>
      </c>
      <c r="D72">
        <v>5251</v>
      </c>
      <c r="E72">
        <v>246408</v>
      </c>
      <c r="F72">
        <v>0.046575</v>
      </c>
      <c r="G72">
        <v>187297</v>
      </c>
      <c r="H72">
        <v>1.80791</v>
      </c>
      <c r="I72">
        <v>187059</v>
      </c>
      <c r="J72">
        <v>0.435068</v>
      </c>
      <c r="K72">
        <v>455</v>
      </c>
      <c r="L72">
        <v>0</v>
      </c>
      <c r="M72">
        <v>-1</v>
      </c>
      <c r="N72">
        <v>11</v>
      </c>
      <c r="O72">
        <v>0.044007</v>
      </c>
      <c r="P72">
        <v>11</v>
      </c>
      <c r="Q72">
        <v>600</v>
      </c>
      <c r="R72" s="1">
        <v>600</v>
      </c>
      <c r="T72">
        <f t="shared" si="2"/>
        <v>0</v>
      </c>
      <c r="U72" s="1">
        <f t="shared" si="3"/>
        <v>0</v>
      </c>
    </row>
    <row r="73" spans="1:21">
      <c r="A73" t="s">
        <v>151</v>
      </c>
      <c r="B73">
        <v>63392</v>
      </c>
      <c r="C73">
        <v>816886</v>
      </c>
      <c r="D73">
        <v>34031</v>
      </c>
      <c r="E73">
        <v>729402</v>
      </c>
      <c r="F73">
        <v>0.14744</v>
      </c>
      <c r="G73">
        <v>405806</v>
      </c>
      <c r="H73">
        <v>2.56714</v>
      </c>
      <c r="I73">
        <v>405560</v>
      </c>
      <c r="J73">
        <v>0.26945</v>
      </c>
      <c r="K73">
        <v>512</v>
      </c>
      <c r="L73">
        <v>0</v>
      </c>
      <c r="M73">
        <v>-1</v>
      </c>
      <c r="N73">
        <v>8</v>
      </c>
      <c r="O73">
        <v>0.122627</v>
      </c>
      <c r="P73">
        <v>8</v>
      </c>
      <c r="Q73">
        <v>600</v>
      </c>
      <c r="R73" s="1">
        <v>600</v>
      </c>
      <c r="T73">
        <f t="shared" si="2"/>
        <v>0</v>
      </c>
      <c r="U73" s="1">
        <f t="shared" si="3"/>
        <v>0</v>
      </c>
    </row>
    <row r="74" spans="1:21">
      <c r="A74" t="s">
        <v>152</v>
      </c>
      <c r="B74">
        <v>11586</v>
      </c>
      <c r="C74">
        <v>568309</v>
      </c>
      <c r="D74">
        <v>9357</v>
      </c>
      <c r="E74">
        <v>558776</v>
      </c>
      <c r="F74">
        <v>0.104941</v>
      </c>
      <c r="G74">
        <v>440442</v>
      </c>
      <c r="H74">
        <v>5.14642</v>
      </c>
      <c r="I74">
        <v>440196</v>
      </c>
      <c r="J74">
        <v>0.543771</v>
      </c>
      <c r="K74">
        <v>529</v>
      </c>
      <c r="L74">
        <v>0</v>
      </c>
      <c r="M74">
        <v>-1</v>
      </c>
      <c r="N74">
        <v>11</v>
      </c>
      <c r="O74">
        <v>0.125362</v>
      </c>
      <c r="P74">
        <v>11</v>
      </c>
      <c r="Q74">
        <v>600</v>
      </c>
      <c r="R74" s="1">
        <v>600</v>
      </c>
      <c r="T74">
        <f t="shared" si="2"/>
        <v>0</v>
      </c>
      <c r="U74" s="1">
        <f t="shared" si="3"/>
        <v>0</v>
      </c>
    </row>
    <row r="75" spans="1:21">
      <c r="A75" t="s">
        <v>153</v>
      </c>
      <c r="B75">
        <v>20453</v>
      </c>
      <c r="C75">
        <v>747604</v>
      </c>
      <c r="D75">
        <v>16605</v>
      </c>
      <c r="E75">
        <v>727744</v>
      </c>
      <c r="F75">
        <v>0.127982</v>
      </c>
      <c r="G75">
        <v>412981</v>
      </c>
      <c r="H75">
        <v>4.82209</v>
      </c>
      <c r="I75">
        <v>412728</v>
      </c>
      <c r="J75">
        <v>0.513507</v>
      </c>
      <c r="K75">
        <v>550</v>
      </c>
      <c r="L75">
        <v>0</v>
      </c>
      <c r="M75">
        <v>-1</v>
      </c>
      <c r="N75">
        <v>12</v>
      </c>
      <c r="O75">
        <v>0.134498</v>
      </c>
      <c r="P75">
        <v>12</v>
      </c>
      <c r="Q75">
        <v>600</v>
      </c>
      <c r="R75" s="1">
        <v>600</v>
      </c>
      <c r="T75">
        <f t="shared" si="2"/>
        <v>0</v>
      </c>
      <c r="U75" s="1">
        <f t="shared" si="3"/>
        <v>0</v>
      </c>
    </row>
    <row r="76" spans="1:21">
      <c r="A76" t="s">
        <v>154</v>
      </c>
      <c r="B76">
        <v>17206</v>
      </c>
      <c r="C76">
        <v>604867</v>
      </c>
      <c r="D76">
        <v>15391</v>
      </c>
      <c r="E76">
        <v>596940</v>
      </c>
      <c r="F76">
        <v>0.16395</v>
      </c>
      <c r="G76">
        <v>329464</v>
      </c>
      <c r="H76">
        <v>4.66507</v>
      </c>
      <c r="I76">
        <v>329198</v>
      </c>
      <c r="J76">
        <v>0.463497</v>
      </c>
      <c r="K76">
        <v>527</v>
      </c>
      <c r="L76">
        <v>0</v>
      </c>
      <c r="M76">
        <v>-1</v>
      </c>
      <c r="N76">
        <v>10</v>
      </c>
      <c r="O76">
        <v>0.162251</v>
      </c>
      <c r="P76">
        <v>10</v>
      </c>
      <c r="Q76">
        <v>600</v>
      </c>
      <c r="R76" s="1">
        <v>600</v>
      </c>
      <c r="T76">
        <f t="shared" si="2"/>
        <v>0</v>
      </c>
      <c r="U76" s="1">
        <f t="shared" si="3"/>
        <v>0</v>
      </c>
    </row>
    <row r="77" spans="1:21">
      <c r="A77" t="s">
        <v>155</v>
      </c>
      <c r="B77">
        <v>14917</v>
      </c>
      <c r="C77">
        <v>482215</v>
      </c>
      <c r="D77">
        <v>12386</v>
      </c>
      <c r="E77">
        <v>468829</v>
      </c>
      <c r="F77">
        <v>0.089872</v>
      </c>
      <c r="G77">
        <v>246353</v>
      </c>
      <c r="H77">
        <v>2.76694</v>
      </c>
      <c r="I77">
        <v>246065</v>
      </c>
      <c r="J77">
        <v>0.718678</v>
      </c>
      <c r="K77">
        <v>494</v>
      </c>
      <c r="L77">
        <v>0</v>
      </c>
      <c r="M77">
        <v>-1</v>
      </c>
      <c r="N77">
        <v>12</v>
      </c>
      <c r="O77">
        <v>0.082471</v>
      </c>
      <c r="P77">
        <v>12</v>
      </c>
      <c r="Q77">
        <v>600</v>
      </c>
      <c r="R77" s="1">
        <v>600</v>
      </c>
      <c r="T77">
        <f t="shared" si="2"/>
        <v>0</v>
      </c>
      <c r="U77" s="1">
        <f t="shared" si="3"/>
        <v>0</v>
      </c>
    </row>
    <row r="78" spans="1:21">
      <c r="A78" t="s">
        <v>156</v>
      </c>
      <c r="B78">
        <v>23831</v>
      </c>
      <c r="C78">
        <v>835946</v>
      </c>
      <c r="D78">
        <v>21219</v>
      </c>
      <c r="E78">
        <v>824515</v>
      </c>
      <c r="F78">
        <v>0.147853</v>
      </c>
      <c r="G78">
        <v>478601</v>
      </c>
      <c r="H78">
        <v>4.89883</v>
      </c>
      <c r="I78">
        <v>478340</v>
      </c>
      <c r="J78">
        <v>0.383373</v>
      </c>
      <c r="K78">
        <v>524</v>
      </c>
      <c r="L78">
        <v>0</v>
      </c>
      <c r="M78">
        <v>-1</v>
      </c>
      <c r="N78">
        <v>10</v>
      </c>
      <c r="O78">
        <v>0.147878</v>
      </c>
      <c r="P78">
        <v>10</v>
      </c>
      <c r="Q78">
        <v>600</v>
      </c>
      <c r="R78" s="1">
        <v>600</v>
      </c>
      <c r="T78">
        <f t="shared" si="2"/>
        <v>0</v>
      </c>
      <c r="U78" s="1">
        <f t="shared" si="3"/>
        <v>0</v>
      </c>
    </row>
    <row r="79" spans="1:21">
      <c r="A79" t="s">
        <v>157</v>
      </c>
      <c r="B79">
        <v>196591</v>
      </c>
      <c r="C79">
        <v>950327</v>
      </c>
      <c r="D79">
        <v>56157</v>
      </c>
      <c r="E79">
        <v>653553</v>
      </c>
      <c r="F79">
        <v>0.210754</v>
      </c>
      <c r="G79">
        <v>333082</v>
      </c>
      <c r="H79">
        <v>1.91859</v>
      </c>
      <c r="I79">
        <v>332897</v>
      </c>
      <c r="J79">
        <v>0.262306</v>
      </c>
      <c r="K79">
        <v>578</v>
      </c>
      <c r="L79">
        <v>0</v>
      </c>
      <c r="M79">
        <v>-1</v>
      </c>
      <c r="N79">
        <v>6</v>
      </c>
      <c r="O79">
        <v>0.215498</v>
      </c>
      <c r="P79">
        <v>6</v>
      </c>
      <c r="Q79">
        <v>600</v>
      </c>
      <c r="R79" s="1">
        <v>600</v>
      </c>
      <c r="T79">
        <f t="shared" si="2"/>
        <v>0</v>
      </c>
      <c r="U79" s="1">
        <f t="shared" si="3"/>
        <v>0</v>
      </c>
    </row>
    <row r="80" spans="1:21">
      <c r="A80" t="s">
        <v>158</v>
      </c>
      <c r="B80">
        <v>34</v>
      </c>
      <c r="C80">
        <v>78</v>
      </c>
      <c r="D80">
        <v>13</v>
      </c>
      <c r="E80">
        <v>33</v>
      </c>
      <c r="F80" s="3" t="s">
        <v>83</v>
      </c>
      <c r="G80">
        <v>14</v>
      </c>
      <c r="H80" s="3" t="s">
        <v>192</v>
      </c>
      <c r="I80">
        <v>14</v>
      </c>
      <c r="J80">
        <v>0.002036</v>
      </c>
      <c r="K80">
        <v>7</v>
      </c>
      <c r="L80">
        <v>0</v>
      </c>
      <c r="M80">
        <v>0.005519</v>
      </c>
      <c r="N80">
        <v>4</v>
      </c>
      <c r="O80" s="3" t="s">
        <v>126</v>
      </c>
      <c r="P80">
        <v>4</v>
      </c>
      <c r="Q80">
        <v>0.017802</v>
      </c>
      <c r="R80" s="1">
        <v>0.013223</v>
      </c>
      <c r="T80">
        <f t="shared" si="2"/>
        <v>0</v>
      </c>
      <c r="U80" s="1">
        <f t="shared" si="3"/>
        <v>1</v>
      </c>
    </row>
    <row r="81" spans="1:21">
      <c r="A81" t="s">
        <v>160</v>
      </c>
      <c r="B81">
        <v>70068</v>
      </c>
      <c r="C81">
        <v>358647</v>
      </c>
      <c r="D81">
        <v>31332</v>
      </c>
      <c r="E81">
        <v>310453</v>
      </c>
      <c r="F81">
        <v>0.059407</v>
      </c>
      <c r="G81">
        <v>101882</v>
      </c>
      <c r="H81">
        <v>0.643333</v>
      </c>
      <c r="I81">
        <v>101669</v>
      </c>
      <c r="J81">
        <v>0.228409</v>
      </c>
      <c r="K81">
        <v>522</v>
      </c>
      <c r="L81">
        <v>0</v>
      </c>
      <c r="M81">
        <v>-1</v>
      </c>
      <c r="N81">
        <v>3</v>
      </c>
      <c r="O81">
        <v>0.056612</v>
      </c>
      <c r="P81">
        <v>3</v>
      </c>
      <c r="Q81">
        <v>600</v>
      </c>
      <c r="R81" s="1">
        <v>600</v>
      </c>
      <c r="T81">
        <f t="shared" si="2"/>
        <v>0</v>
      </c>
      <c r="U81" s="1">
        <f t="shared" si="3"/>
        <v>0</v>
      </c>
    </row>
    <row r="82" spans="1:21">
      <c r="A82" t="s">
        <v>161</v>
      </c>
      <c r="B82">
        <v>404719</v>
      </c>
      <c r="C82">
        <v>713319</v>
      </c>
      <c r="D82">
        <v>96749</v>
      </c>
      <c r="E82">
        <v>405349</v>
      </c>
      <c r="F82">
        <v>0.117696</v>
      </c>
      <c r="G82">
        <v>49436</v>
      </c>
      <c r="H82">
        <v>0.656686</v>
      </c>
      <c r="I82">
        <v>48877</v>
      </c>
      <c r="J82">
        <v>0.184705</v>
      </c>
      <c r="K82">
        <v>557</v>
      </c>
      <c r="L82">
        <v>0</v>
      </c>
      <c r="M82">
        <v>-1</v>
      </c>
      <c r="N82">
        <v>2</v>
      </c>
      <c r="O82">
        <v>0.098074</v>
      </c>
      <c r="P82">
        <v>2</v>
      </c>
      <c r="Q82">
        <v>600</v>
      </c>
      <c r="R82" s="1">
        <v>600</v>
      </c>
      <c r="T82">
        <f t="shared" si="2"/>
        <v>0</v>
      </c>
      <c r="U82" s="1">
        <f t="shared" si="3"/>
        <v>0</v>
      </c>
    </row>
    <row r="83" spans="1:21">
      <c r="A83" t="s">
        <v>162</v>
      </c>
      <c r="B83">
        <v>889</v>
      </c>
      <c r="C83">
        <v>2914</v>
      </c>
      <c r="D83">
        <v>431</v>
      </c>
      <c r="E83">
        <v>2137</v>
      </c>
      <c r="F83">
        <v>0.000317</v>
      </c>
      <c r="G83">
        <v>723</v>
      </c>
      <c r="H83">
        <v>0.001307</v>
      </c>
      <c r="I83">
        <v>458</v>
      </c>
      <c r="J83">
        <v>0.093221</v>
      </c>
      <c r="K83">
        <v>538</v>
      </c>
      <c r="L83">
        <v>0</v>
      </c>
      <c r="M83">
        <v>0.031282</v>
      </c>
      <c r="N83">
        <v>4</v>
      </c>
      <c r="O83">
        <v>0.000185</v>
      </c>
      <c r="P83">
        <v>5</v>
      </c>
      <c r="Q83">
        <v>0.1418</v>
      </c>
      <c r="R83" s="1">
        <v>0.1132</v>
      </c>
      <c r="T83">
        <f t="shared" si="2"/>
        <v>0</v>
      </c>
      <c r="U83" s="1">
        <f t="shared" si="3"/>
        <v>1</v>
      </c>
    </row>
    <row r="84" spans="1:21">
      <c r="A84" t="s">
        <v>163</v>
      </c>
      <c r="B84">
        <v>26475</v>
      </c>
      <c r="C84">
        <v>53381</v>
      </c>
      <c r="D84">
        <v>5696</v>
      </c>
      <c r="E84">
        <v>22287</v>
      </c>
      <c r="F84">
        <v>0.007726</v>
      </c>
      <c r="G84">
        <v>11604</v>
      </c>
      <c r="H84">
        <v>0.039792</v>
      </c>
      <c r="I84">
        <v>11543</v>
      </c>
      <c r="J84">
        <v>0.257019</v>
      </c>
      <c r="K84">
        <v>1146</v>
      </c>
      <c r="L84">
        <v>0</v>
      </c>
      <c r="M84">
        <v>-1</v>
      </c>
      <c r="N84">
        <v>3</v>
      </c>
      <c r="O84">
        <v>0.005549</v>
      </c>
      <c r="P84">
        <v>3</v>
      </c>
      <c r="Q84">
        <v>600</v>
      </c>
      <c r="R84" s="1">
        <v>600</v>
      </c>
      <c r="T84">
        <f t="shared" si="2"/>
        <v>0</v>
      </c>
      <c r="U84" s="1">
        <f t="shared" si="3"/>
        <v>0</v>
      </c>
    </row>
    <row r="85" spans="1:21">
      <c r="A85" t="s">
        <v>164</v>
      </c>
      <c r="B85">
        <v>40164</v>
      </c>
      <c r="C85">
        <v>85123</v>
      </c>
      <c r="D85">
        <v>9439</v>
      </c>
      <c r="E85">
        <v>39351</v>
      </c>
      <c r="F85">
        <v>0.014282</v>
      </c>
      <c r="G85">
        <v>21641</v>
      </c>
      <c r="H85">
        <v>0.125073</v>
      </c>
      <c r="I85">
        <v>21572</v>
      </c>
      <c r="J85">
        <v>0.281752</v>
      </c>
      <c r="K85">
        <v>1050</v>
      </c>
      <c r="L85">
        <v>0</v>
      </c>
      <c r="M85">
        <v>-1</v>
      </c>
      <c r="N85">
        <v>3</v>
      </c>
      <c r="O85">
        <v>0.01061</v>
      </c>
      <c r="P85">
        <v>3</v>
      </c>
      <c r="Q85">
        <v>600</v>
      </c>
      <c r="R85" s="1">
        <v>600</v>
      </c>
      <c r="T85">
        <f t="shared" si="2"/>
        <v>0</v>
      </c>
      <c r="U85" s="1">
        <f t="shared" si="3"/>
        <v>0</v>
      </c>
    </row>
    <row r="86" spans="1:21">
      <c r="A86" t="s">
        <v>165</v>
      </c>
      <c r="B86">
        <v>62561</v>
      </c>
      <c r="C86">
        <v>147878</v>
      </c>
      <c r="D86">
        <v>24443</v>
      </c>
      <c r="E86">
        <v>100454</v>
      </c>
      <c r="F86">
        <v>0.030434</v>
      </c>
      <c r="G86">
        <v>379</v>
      </c>
      <c r="H86">
        <v>0.047292</v>
      </c>
      <c r="I86">
        <v>90</v>
      </c>
      <c r="J86">
        <v>0.146179</v>
      </c>
      <c r="K86">
        <v>0</v>
      </c>
      <c r="L86">
        <v>0</v>
      </c>
      <c r="M86" s="3" t="s">
        <v>69</v>
      </c>
      <c r="N86">
        <v>3</v>
      </c>
      <c r="O86">
        <v>0.025319</v>
      </c>
      <c r="P86">
        <v>3</v>
      </c>
      <c r="Q86">
        <v>0.379486</v>
      </c>
      <c r="R86" s="1">
        <v>0.204995</v>
      </c>
      <c r="T86">
        <f t="shared" si="2"/>
        <v>0</v>
      </c>
      <c r="U86" s="1">
        <f t="shared" si="3"/>
        <v>1</v>
      </c>
    </row>
    <row r="87" spans="1:21">
      <c r="A87" t="s">
        <v>166</v>
      </c>
      <c r="B87">
        <v>190914</v>
      </c>
      <c r="C87">
        <v>607610</v>
      </c>
      <c r="D87">
        <v>69395</v>
      </c>
      <c r="E87">
        <v>406612</v>
      </c>
      <c r="F87">
        <v>0.117441</v>
      </c>
      <c r="G87">
        <v>113378</v>
      </c>
      <c r="H87">
        <v>0.713427</v>
      </c>
      <c r="I87">
        <v>113151</v>
      </c>
      <c r="J87">
        <v>0.202719</v>
      </c>
      <c r="K87">
        <v>499</v>
      </c>
      <c r="L87">
        <v>0</v>
      </c>
      <c r="M87">
        <v>-1</v>
      </c>
      <c r="N87">
        <v>4</v>
      </c>
      <c r="O87">
        <v>0.102477</v>
      </c>
      <c r="P87">
        <v>4</v>
      </c>
      <c r="Q87">
        <v>600</v>
      </c>
      <c r="R87" s="1">
        <v>600</v>
      </c>
      <c r="T87">
        <f t="shared" si="2"/>
        <v>0</v>
      </c>
      <c r="U87" s="1">
        <f t="shared" si="3"/>
        <v>0</v>
      </c>
    </row>
    <row r="88" spans="1:21">
      <c r="A88" t="s">
        <v>167</v>
      </c>
      <c r="B88">
        <v>2113</v>
      </c>
      <c r="C88">
        <v>6632</v>
      </c>
      <c r="D88">
        <v>165</v>
      </c>
      <c r="E88">
        <v>1558</v>
      </c>
      <c r="F88">
        <v>0.000354</v>
      </c>
      <c r="G88">
        <v>833</v>
      </c>
      <c r="H88">
        <v>0.002023</v>
      </c>
      <c r="I88">
        <v>830</v>
      </c>
      <c r="J88">
        <v>0.160401</v>
      </c>
      <c r="K88">
        <v>780</v>
      </c>
      <c r="L88">
        <v>20</v>
      </c>
      <c r="M88">
        <v>0.108431</v>
      </c>
      <c r="N88">
        <v>10</v>
      </c>
      <c r="O88">
        <v>0.000508</v>
      </c>
      <c r="P88">
        <v>10</v>
      </c>
      <c r="Q88">
        <v>0.288131</v>
      </c>
      <c r="R88" s="1">
        <v>0.288053</v>
      </c>
      <c r="T88">
        <f t="shared" si="2"/>
        <v>0</v>
      </c>
      <c r="U88" s="1">
        <f t="shared" si="3"/>
        <v>1</v>
      </c>
    </row>
    <row r="89" spans="1:21">
      <c r="A89" t="s">
        <v>168</v>
      </c>
      <c r="B89">
        <v>7476</v>
      </c>
      <c r="C89">
        <v>56943</v>
      </c>
      <c r="D89">
        <v>1034</v>
      </c>
      <c r="E89">
        <v>36994</v>
      </c>
      <c r="F89">
        <v>0.008908</v>
      </c>
      <c r="G89">
        <v>32918</v>
      </c>
      <c r="H89">
        <v>0.450575</v>
      </c>
      <c r="I89">
        <v>32873</v>
      </c>
      <c r="J89">
        <v>4.43198</v>
      </c>
      <c r="K89">
        <v>651</v>
      </c>
      <c r="L89">
        <v>0</v>
      </c>
      <c r="M89">
        <v>-1</v>
      </c>
      <c r="N89">
        <v>15</v>
      </c>
      <c r="O89">
        <v>0.009181</v>
      </c>
      <c r="P89">
        <v>15</v>
      </c>
      <c r="Q89">
        <v>600</v>
      </c>
      <c r="R89" s="1">
        <v>600</v>
      </c>
      <c r="T89">
        <f t="shared" si="2"/>
        <v>0</v>
      </c>
      <c r="U89" s="1">
        <f t="shared" si="3"/>
        <v>0</v>
      </c>
    </row>
    <row r="90" spans="1:21">
      <c r="A90" t="s">
        <v>169</v>
      </c>
      <c r="B90">
        <v>3031</v>
      </c>
      <c r="C90">
        <v>6474</v>
      </c>
      <c r="D90">
        <v>51</v>
      </c>
      <c r="E90">
        <v>645</v>
      </c>
      <c r="F90">
        <v>0.000205</v>
      </c>
      <c r="G90">
        <v>645</v>
      </c>
      <c r="H90">
        <v>0.00193</v>
      </c>
      <c r="I90">
        <v>645</v>
      </c>
      <c r="J90">
        <v>0.081137</v>
      </c>
      <c r="K90">
        <v>314</v>
      </c>
      <c r="L90">
        <v>111</v>
      </c>
      <c r="M90">
        <v>0.526197</v>
      </c>
      <c r="N90">
        <v>19</v>
      </c>
      <c r="O90">
        <v>0.000591</v>
      </c>
      <c r="P90">
        <v>19</v>
      </c>
      <c r="Q90">
        <v>0.63733</v>
      </c>
      <c r="R90" s="1">
        <v>0.382793</v>
      </c>
      <c r="T90">
        <f t="shared" si="2"/>
        <v>0</v>
      </c>
      <c r="U90" s="1">
        <f t="shared" si="3"/>
        <v>1</v>
      </c>
    </row>
    <row r="91" spans="1:21">
      <c r="A91" t="s">
        <v>170</v>
      </c>
      <c r="B91">
        <v>1299</v>
      </c>
      <c r="C91">
        <v>2773</v>
      </c>
      <c r="D91">
        <v>53</v>
      </c>
      <c r="E91">
        <v>415</v>
      </c>
      <c r="F91">
        <v>0.000134</v>
      </c>
      <c r="G91">
        <v>410</v>
      </c>
      <c r="H91">
        <v>0.000616</v>
      </c>
      <c r="I91">
        <v>410</v>
      </c>
      <c r="J91">
        <v>0.04098</v>
      </c>
      <c r="K91">
        <v>78</v>
      </c>
      <c r="L91">
        <v>1</v>
      </c>
      <c r="M91">
        <v>0.011141</v>
      </c>
      <c r="N91">
        <v>15</v>
      </c>
      <c r="O91">
        <v>0.00035</v>
      </c>
      <c r="P91">
        <v>15</v>
      </c>
      <c r="Q91">
        <v>0.065684</v>
      </c>
      <c r="R91" s="1">
        <v>0.041326</v>
      </c>
      <c r="T91">
        <f t="shared" si="2"/>
        <v>0</v>
      </c>
      <c r="U91" s="1">
        <f t="shared" si="3"/>
        <v>1</v>
      </c>
    </row>
    <row r="92" spans="1:21">
      <c r="A92" t="s">
        <v>172</v>
      </c>
      <c r="B92">
        <v>11358</v>
      </c>
      <c r="C92">
        <v>47606</v>
      </c>
      <c r="D92">
        <v>452</v>
      </c>
      <c r="E92">
        <v>8164</v>
      </c>
      <c r="F92">
        <v>0.001579</v>
      </c>
      <c r="G92">
        <v>8129</v>
      </c>
      <c r="H92">
        <v>0.01886</v>
      </c>
      <c r="I92">
        <v>8129</v>
      </c>
      <c r="J92">
        <v>0.79854</v>
      </c>
      <c r="K92">
        <v>3822</v>
      </c>
      <c r="L92">
        <v>296</v>
      </c>
      <c r="M92">
        <v>-1</v>
      </c>
      <c r="N92">
        <v>28</v>
      </c>
      <c r="O92">
        <v>0.003866</v>
      </c>
      <c r="P92">
        <v>28</v>
      </c>
      <c r="Q92">
        <v>600</v>
      </c>
      <c r="R92" s="1">
        <v>210.465</v>
      </c>
      <c r="T92">
        <f t="shared" si="2"/>
        <v>0</v>
      </c>
      <c r="U92" s="1">
        <f t="shared" si="3"/>
        <v>1</v>
      </c>
    </row>
    <row r="93" spans="1:21">
      <c r="A93" t="s">
        <v>174</v>
      </c>
      <c r="B93">
        <v>643</v>
      </c>
      <c r="C93">
        <v>2280</v>
      </c>
      <c r="D93">
        <v>180</v>
      </c>
      <c r="E93">
        <v>1235</v>
      </c>
      <c r="F93">
        <v>0.000184</v>
      </c>
      <c r="G93">
        <v>506</v>
      </c>
      <c r="H93">
        <v>0.001116</v>
      </c>
      <c r="I93">
        <v>388</v>
      </c>
      <c r="J93">
        <v>0.060294</v>
      </c>
      <c r="K93">
        <v>388</v>
      </c>
      <c r="L93">
        <v>10</v>
      </c>
      <c r="M93">
        <v>0.04507</v>
      </c>
      <c r="N93">
        <v>6</v>
      </c>
      <c r="O93">
        <v>0.000147</v>
      </c>
      <c r="P93">
        <v>7</v>
      </c>
      <c r="Q93">
        <v>0.119269</v>
      </c>
      <c r="R93" s="1">
        <v>0.102791</v>
      </c>
      <c r="T93">
        <f t="shared" si="2"/>
        <v>0</v>
      </c>
      <c r="U93" s="1">
        <f t="shared" si="3"/>
        <v>1</v>
      </c>
    </row>
    <row r="94" spans="1:21">
      <c r="A94" t="s">
        <v>175</v>
      </c>
      <c r="B94">
        <v>121422</v>
      </c>
      <c r="C94">
        <v>334419</v>
      </c>
      <c r="D94">
        <v>1071</v>
      </c>
      <c r="E94">
        <v>25209</v>
      </c>
      <c r="F94">
        <v>0.012692</v>
      </c>
      <c r="G94">
        <v>25166</v>
      </c>
      <c r="H94">
        <v>0.186413</v>
      </c>
      <c r="I94">
        <v>25166</v>
      </c>
      <c r="J94">
        <v>6.70997</v>
      </c>
      <c r="K94">
        <v>1103</v>
      </c>
      <c r="L94">
        <v>0</v>
      </c>
      <c r="M94">
        <v>-1</v>
      </c>
      <c r="N94">
        <v>22</v>
      </c>
      <c r="O94">
        <v>0.051468</v>
      </c>
      <c r="P94">
        <v>22</v>
      </c>
      <c r="Q94">
        <v>600</v>
      </c>
      <c r="R94" s="1">
        <v>600</v>
      </c>
      <c r="T94">
        <f t="shared" si="2"/>
        <v>0</v>
      </c>
      <c r="U94" s="1">
        <f t="shared" si="3"/>
        <v>0</v>
      </c>
    </row>
    <row r="95" spans="1:21">
      <c r="A95" t="s">
        <v>176</v>
      </c>
      <c r="B95">
        <v>4767</v>
      </c>
      <c r="C95">
        <v>37375</v>
      </c>
      <c r="D95">
        <v>2155</v>
      </c>
      <c r="E95">
        <v>31206</v>
      </c>
      <c r="F95">
        <v>0.00476</v>
      </c>
      <c r="G95">
        <v>17323</v>
      </c>
      <c r="H95">
        <v>0.075996</v>
      </c>
      <c r="I95">
        <v>17047</v>
      </c>
      <c r="J95">
        <v>0.291638</v>
      </c>
      <c r="K95">
        <v>905</v>
      </c>
      <c r="L95">
        <v>0</v>
      </c>
      <c r="M95">
        <v>-1</v>
      </c>
      <c r="N95">
        <v>7</v>
      </c>
      <c r="O95">
        <v>0.003071</v>
      </c>
      <c r="P95">
        <v>7</v>
      </c>
      <c r="Q95">
        <v>600</v>
      </c>
      <c r="R95" s="1">
        <v>600</v>
      </c>
      <c r="T95">
        <f t="shared" si="2"/>
        <v>0</v>
      </c>
      <c r="U95" s="1">
        <f t="shared" si="3"/>
        <v>0</v>
      </c>
    </row>
    <row r="96" spans="1:21">
      <c r="A96" t="s">
        <v>177</v>
      </c>
      <c r="B96">
        <v>16062</v>
      </c>
      <c r="C96">
        <v>25593</v>
      </c>
      <c r="D96">
        <v>138</v>
      </c>
      <c r="E96">
        <v>1476</v>
      </c>
      <c r="F96">
        <v>0.000923</v>
      </c>
      <c r="G96">
        <v>1475</v>
      </c>
      <c r="H96">
        <v>0.004318</v>
      </c>
      <c r="I96">
        <v>1475</v>
      </c>
      <c r="J96">
        <v>0.573247</v>
      </c>
      <c r="K96">
        <v>2982</v>
      </c>
      <c r="L96">
        <v>1631</v>
      </c>
      <c r="M96">
        <v>87.6226</v>
      </c>
      <c r="N96">
        <v>13</v>
      </c>
      <c r="O96">
        <v>0.002853</v>
      </c>
      <c r="P96">
        <v>14</v>
      </c>
      <c r="Q96">
        <v>88.3568</v>
      </c>
      <c r="R96" s="1">
        <v>29.1783</v>
      </c>
      <c r="T96">
        <f t="shared" si="2"/>
        <v>0</v>
      </c>
      <c r="U96" s="1">
        <f t="shared" si="3"/>
        <v>1</v>
      </c>
    </row>
    <row r="97" spans="20:21">
      <c r="T97">
        <f>COUNTIF(T2:T96,"=1")</f>
        <v>10</v>
      </c>
      <c r="U97">
        <f>COUNTIF(U2:U96,"=1")</f>
        <v>50</v>
      </c>
    </row>
  </sheetData>
  <sortState ref="A2:Q96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k=10</vt:lpstr>
      <vt:lpstr>k=15</vt:lpstr>
      <vt:lpstr>k=20</vt:lpstr>
      <vt:lpstr>k=25</vt:lpstr>
      <vt:lpstr>k=30</vt:lpstr>
      <vt:lpstr>0.0001</vt:lpstr>
      <vt:lpstr>0.0005</vt:lpstr>
      <vt:lpstr>0.001</vt:lpstr>
      <vt:lpstr>0.0015</vt:lpstr>
      <vt:lpstr>0.002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姜皓裕</dc:creator>
  <cp:lastModifiedBy>小丑本丑</cp:lastModifiedBy>
  <dcterms:created xsi:type="dcterms:W3CDTF">2023-05-12T11:15:00Z</dcterms:created>
  <dcterms:modified xsi:type="dcterms:W3CDTF">2026-05-09T11:42:28Z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BD37327A241147A8934D4634DA8A9C8C_12</vt:lpwstr>
  </property>
  <property fmtid="{D5CDD505-2E9C-101B-9397-08002B2CF9AE}" pid="4" name="CalculationRule">
    <vt:i4>0</vt:i4>
  </property>
</Properties>
</file>