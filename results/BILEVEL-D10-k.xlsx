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4" activeTab="7"/>
  </bookViews>
  <sheets>
    <sheet name="Sheet1" sheetId="1" r:id="rId1"/>
    <sheet name="error的数据" sheetId="8" r:id="rId2"/>
    <sheet name="超时需要加入的点" sheetId="9" r:id="rId3"/>
    <sheet name="k=10" sheetId="2" r:id="rId4"/>
    <sheet name="k=15" sheetId="3" r:id="rId5"/>
    <sheet name="k=20" sheetId="4" r:id="rId6"/>
    <sheet name="k=25" sheetId="5" r:id="rId7"/>
    <sheet name="k=30" sheetId="6" r:id="rId8"/>
    <sheet name="Compare" sheetId="11" r:id="rId9"/>
    <sheet name="内存炸了的点" sheetId="12" r:id="rId10"/>
  </sheets>
  <definedNames>
    <definedName name="_xlnm._FilterDatabase" localSheetId="2" hidden="1">超时需要加入的点!$A$4:$A$51</definedName>
    <definedName name="_xlnm._FilterDatabase" localSheetId="8" hidden="1">Compare!$A$2:$S$2</definedName>
    <definedName name="_xlnm._FilterDatabase" localSheetId="3" hidden="1">'k=10'!$A$1:$A$82</definedName>
    <definedName name="_xlnm._FilterDatabase" localSheetId="4" hidden="1">'k=15'!$A$1:$A$81</definedName>
    <definedName name="_xlnm._FilterDatabase" localSheetId="5" hidden="1">'k=20'!$A$1:$A$81</definedName>
    <definedName name="_xlnm._FilterDatabase" localSheetId="6" hidden="1">'k=25'!$A$1:$A$81</definedName>
    <definedName name="_xlnm._FilterDatabase" localSheetId="7" hidden="1">'k=30'!$A$1:$A$81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<sst xmlns="http://schemas.openxmlformats.org/spreadsheetml/2006/main" count="2113" uniqueCount="173">
  <si>
    <t>density</t>
  </si>
  <si>
    <t>input_file</t>
  </si>
  <si>
    <t>time(s)</t>
  </si>
  <si>
    <t>opt</t>
  </si>
  <si>
    <t>nodes</t>
  </si>
  <si>
    <t>%root_gap</t>
  </si>
  <si>
    <t>%final_gap</t>
  </si>
  <si>
    <t>setting</t>
  </si>
  <si>
    <t>bio-yeast</t>
  </si>
  <si>
    <t>78</t>
  </si>
  <si>
    <t>33.333333</t>
  </si>
  <si>
    <t>0.000000</t>
  </si>
  <si>
    <t>4</t>
  </si>
  <si>
    <t>ca-CSphd</t>
  </si>
  <si>
    <t>0</t>
  </si>
  <si>
    <t>ca-Erdos992</t>
  </si>
  <si>
    <t>100.000000</t>
  </si>
  <si>
    <t>ia-enron-large</t>
  </si>
  <si>
    <t>ia-fb-messages</t>
  </si>
  <si>
    <t>-999999999999999874122120252033165764280595840825189990400.000000</t>
  </si>
  <si>
    <t>ia-wiki-Talk</t>
  </si>
  <si>
    <t>inf-power</t>
  </si>
  <si>
    <t>134</t>
  </si>
  <si>
    <t>48.916737</t>
  </si>
  <si>
    <t>rec-amazon</t>
  </si>
  <si>
    <t>rt-retweet</t>
  </si>
  <si>
    <t>rt-twitter-copen</t>
  </si>
  <si>
    <t>5</t>
  </si>
  <si>
    <t>15.998587</t>
  </si>
  <si>
    <t>scc_fb-messages</t>
  </si>
  <si>
    <t>scc_rt_assad</t>
  </si>
  <si>
    <t>258</t>
  </si>
  <si>
    <t>44.544838</t>
  </si>
  <si>
    <t>scc_rt_bahrain</t>
  </si>
  <si>
    <t>740</t>
  </si>
  <si>
    <t>50.000000</t>
  </si>
  <si>
    <t>scc_rt_damascus</t>
  </si>
  <si>
    <t>3</t>
  </si>
  <si>
    <t>scc_rt_dash</t>
  </si>
  <si>
    <t>scc_rt_gop</t>
  </si>
  <si>
    <t>scc_rt_http</t>
  </si>
  <si>
    <t>scc_rt_israel</t>
  </si>
  <si>
    <t>scc_rt_ksa</t>
  </si>
  <si>
    <t>scc_rt_lebanon</t>
  </si>
  <si>
    <t>scc_rt_libya</t>
  </si>
  <si>
    <t>scc_rt_mittromney</t>
  </si>
  <si>
    <t>38</t>
  </si>
  <si>
    <t>scc_rt_obama</t>
  </si>
  <si>
    <t>scc_rt_occupy</t>
  </si>
  <si>
    <t>scc_rt_oman</t>
  </si>
  <si>
    <t>scc_rt_p2</t>
  </si>
  <si>
    <t>scc_rt_qatif</t>
  </si>
  <si>
    <t>scc_rt_saudi</t>
  </si>
  <si>
    <t>152</t>
  </si>
  <si>
    <t>44.855389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</si>
  <si>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</si>
  <si>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</si>
  <si>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</si>
  <si>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</si>
  <si>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</si>
  <si>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</si>
  <si>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</si>
  <si>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7</t>
  </si>
  <si>
    <t>21.302648</t>
  </si>
  <si>
    <t>soc-karate</t>
  </si>
  <si>
    <t>19.941717</t>
  </si>
  <si>
    <t>socfb-UCLA</t>
  </si>
  <si>
    <t>tech-WHOIS</t>
  </si>
  <si>
    <t>bio-celegans</t>
  </si>
  <si>
    <t>2</t>
  </si>
  <si>
    <t>11</t>
  </si>
  <si>
    <t>27.911374</t>
  </si>
  <si>
    <t>ia-email-univ</t>
  </si>
  <si>
    <t>3086</t>
  </si>
  <si>
    <t>49</t>
  </si>
  <si>
    <t>scc_fb-forum</t>
  </si>
  <si>
    <t>10</t>
  </si>
  <si>
    <t>448</t>
  </si>
  <si>
    <t>1040</t>
  </si>
  <si>
    <t>22</t>
  </si>
  <si>
    <t>351</t>
  </si>
  <si>
    <t>171</t>
  </si>
  <si>
    <t>21</t>
  </si>
  <si>
    <t>tech-as-caida2007</t>
  </si>
  <si>
    <t>ca-AstroPh</t>
  </si>
  <si>
    <t>307</t>
  </si>
  <si>
    <t>65</t>
  </si>
  <si>
    <t>106</t>
  </si>
  <si>
    <t>362</t>
  </si>
  <si>
    <t>572</t>
  </si>
  <si>
    <t>web-polblogs</t>
  </si>
  <si>
    <t>20</t>
  </si>
  <si>
    <t>ca-CondMat</t>
  </si>
  <si>
    <t>120</t>
  </si>
  <si>
    <t>347</t>
  </si>
  <si>
    <t>97</t>
  </si>
  <si>
    <t>325</t>
  </si>
  <si>
    <t>179</t>
  </si>
  <si>
    <t>18</t>
  </si>
  <si>
    <t>soc-wiki-Vote</t>
  </si>
  <si>
    <t>web-sk-2005</t>
  </si>
  <si>
    <t>72</t>
  </si>
  <si>
    <t>1</t>
  </si>
  <si>
    <t>scc_infect-dublin</t>
  </si>
  <si>
    <t>37</t>
  </si>
  <si>
    <t>150</t>
  </si>
  <si>
    <t>scc_rt_barackobama</t>
  </si>
  <si>
    <t>898</t>
  </si>
  <si>
    <t>15</t>
  </si>
  <si>
    <t>soc-epinions</t>
  </si>
  <si>
    <t>内存炸了的点</t>
  </si>
  <si>
    <t>soc-gowalla</t>
  </si>
  <si>
    <t>soc-slashdot</t>
  </si>
  <si>
    <t>ia-reality</t>
  </si>
  <si>
    <t>scc_rt_onedirection</t>
  </si>
  <si>
    <t>socfb-Stanford3</t>
  </si>
  <si>
    <t>socfb-Duke14</t>
  </si>
  <si>
    <t>bio-diseasome</t>
  </si>
  <si>
    <t>soc-douban</t>
  </si>
  <si>
    <t>ca-GrQc</t>
  </si>
  <si>
    <t>socfb-Berkeley13</t>
  </si>
  <si>
    <t>scc_rt_lolgop</t>
  </si>
  <si>
    <t>socfb-OR</t>
  </si>
  <si>
    <t>socfb-UConn</t>
  </si>
  <si>
    <t>socfb-UCSB37</t>
  </si>
  <si>
    <t>socfb-Wisconsin87</t>
  </si>
  <si>
    <t>web-spam</t>
  </si>
  <si>
    <t>soc-twitter-follows</t>
  </si>
  <si>
    <t>socfb-CMU</t>
  </si>
  <si>
    <t>tech-p2p-gnutella</t>
  </si>
  <si>
    <t>ia-email-EU</t>
  </si>
  <si>
    <t>tech-RL-caida</t>
  </si>
  <si>
    <t>ca-citeseer</t>
  </si>
  <si>
    <t>scc_retweet-crawl</t>
  </si>
  <si>
    <t>ia-infect-hyper</t>
  </si>
  <si>
    <t>scc_enron-only</t>
  </si>
  <si>
    <t>ia-infect-dublin</t>
  </si>
  <si>
    <t>ca-dblp-2010</t>
  </si>
  <si>
    <t>web-indochina-2004</t>
  </si>
  <si>
    <t>scc_rt_gmanews</t>
  </si>
  <si>
    <t>ca-netscience</t>
  </si>
  <si>
    <t>ca-MathSciNet</t>
  </si>
  <si>
    <t>bio-dmela</t>
  </si>
  <si>
    <t>ca-HepPh</t>
  </si>
  <si>
    <t>tech-internet-as</t>
  </si>
  <si>
    <t>scc_retweet</t>
  </si>
  <si>
    <t>ia-enron-only</t>
  </si>
  <si>
    <t>web-webbase-2001</t>
  </si>
  <si>
    <t>scc_rt_justinbieber</t>
  </si>
  <si>
    <t>web-google</t>
  </si>
  <si>
    <t>web-edu</t>
  </si>
  <si>
    <t>scc_rt_alwefaq</t>
  </si>
  <si>
    <t>scc_rt_occupywallstnyc</t>
  </si>
  <si>
    <t>socfb-MIT</t>
  </si>
  <si>
    <t>scc_infect-hyper</t>
  </si>
  <si>
    <t>tech-routers-rf</t>
  </si>
  <si>
    <t>name</t>
  </si>
  <si>
    <t>time</t>
  </si>
  <si>
    <t>CEMA</t>
  </si>
  <si>
    <t>k=10</t>
  </si>
  <si>
    <t>k=15</t>
  </si>
  <si>
    <t>k=20</t>
  </si>
  <si>
    <t>k=25</t>
  </si>
  <si>
    <t>k=30</t>
  </si>
  <si>
    <t>BILEVEL</t>
  </si>
  <si>
    <t>RLCM</t>
  </si>
  <si>
    <t>delta</t>
  </si>
  <si>
    <t>都没跑出来的</t>
  </si>
  <si>
    <t>RLCM更优</t>
  </si>
  <si>
    <t>BILEVEL更优</t>
  </si>
  <si>
    <t>RLCM多跑出来的</t>
  </si>
  <si>
    <t>instance</t>
  </si>
  <si>
    <t>t.l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</si>
</sst>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workbookViewId="0">
      <selection activeCell="J192" sqref="J192"/>
    </sheetView>
  </sheetViews>
  <sheetFormatPr defaultColWidth="9" defaultRowHeight="14" outlineLevelCol="7"/>
  <cols>
    <col min="1" max="1" width="8.90909090909091" customWidth="1"/>
    <col min="2" max="2" width="45.9090909090909" customWidth="1"/>
    <col min="3" max="3" width="12.4545454545455" customWidth="1"/>
    <col min="4" max="4" width="4.54545454545455" customWidth="1"/>
    <col min="5" max="5" width="6.72727272727273" hidden="1" customWidth="1"/>
    <col min="6" max="6" width="11.3636363636364" hidden="1" customWidth="1"/>
    <col min="7" max="7" width="70.7272727272727" hidden="1" customWidth="1"/>
    <col min="8" max="8" width="8.90909090909091" hidden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>
        <v>10</v>
      </c>
      <c r="B2" t="s">
        <v>8</v>
      </c>
      <c r="C2">
        <v>0.314764</v>
      </c>
      <c r="D2">
        <v>1</v>
      </c>
      <c r="E2" t="s">
        <v>9</v>
      </c>
      <c r="F2" t="s">
        <v>10</v>
      </c>
      <c r="G2" t="s">
        <v>11</v>
      </c>
      <c r="H2" t="s">
        <v>12</v>
      </c>
    </row>
    <row r="3" spans="1:8">
      <c r="A3">
        <v>10</v>
      </c>
      <c r="B3" t="s">
        <v>13</v>
      </c>
      <c r="C3">
        <v>8.496755</v>
      </c>
      <c r="D3">
        <v>1</v>
      </c>
      <c r="E3" t="s">
        <v>14</v>
      </c>
      <c r="F3" t="s">
        <v>11</v>
      </c>
      <c r="G3" t="s">
        <v>11</v>
      </c>
      <c r="H3" t="s">
        <v>12</v>
      </c>
    </row>
    <row r="4" spans="1:8">
      <c r="A4">
        <v>10</v>
      </c>
      <c r="B4" t="s">
        <v>15</v>
      </c>
      <c r="C4">
        <v>653.878293</v>
      </c>
      <c r="D4">
        <v>0</v>
      </c>
      <c r="E4" t="s">
        <v>14</v>
      </c>
      <c r="F4" t="s">
        <v>16</v>
      </c>
      <c r="G4" t="s">
        <v>16</v>
      </c>
      <c r="H4" t="s">
        <v>12</v>
      </c>
    </row>
    <row r="5" spans="1:8">
      <c r="A5">
        <v>10</v>
      </c>
      <c r="B5" t="s">
        <v>17</v>
      </c>
      <c r="C5">
        <v>602.174849</v>
      </c>
      <c r="D5">
        <v>0</v>
      </c>
      <c r="E5" t="s">
        <v>14</v>
      </c>
      <c r="F5" t="s">
        <v>16</v>
      </c>
      <c r="G5" t="s">
        <v>16</v>
      </c>
      <c r="H5" t="s">
        <v>12</v>
      </c>
    </row>
    <row r="6" spans="1:8">
      <c r="A6">
        <v>10</v>
      </c>
      <c r="B6" t="s">
        <v>18</v>
      </c>
      <c r="C6">
        <v>629.66564</v>
      </c>
      <c r="D6">
        <v>-1</v>
      </c>
      <c r="E6" t="s">
        <v>14</v>
      </c>
      <c r="F6" t="s">
        <v>16</v>
      </c>
      <c r="G6" t="s">
        <v>19</v>
      </c>
      <c r="H6" t="s">
        <v>12</v>
      </c>
    </row>
    <row r="7" spans="1:8">
      <c r="A7">
        <v>10</v>
      </c>
      <c r="B7" t="s">
        <v>20</v>
      </c>
      <c r="C7">
        <v>939.87611</v>
      </c>
      <c r="D7">
        <v>0</v>
      </c>
      <c r="E7" t="s">
        <v>14</v>
      </c>
      <c r="F7" t="s">
        <v>16</v>
      </c>
      <c r="G7" t="s">
        <v>16</v>
      </c>
      <c r="H7" t="s">
        <v>12</v>
      </c>
    </row>
    <row r="8" spans="1:8">
      <c r="A8">
        <v>10</v>
      </c>
      <c r="B8" t="s">
        <v>21</v>
      </c>
      <c r="C8">
        <v>3.205877</v>
      </c>
      <c r="D8">
        <v>1</v>
      </c>
      <c r="E8" t="s">
        <v>22</v>
      </c>
      <c r="F8" t="s">
        <v>23</v>
      </c>
      <c r="G8" t="s">
        <v>11</v>
      </c>
      <c r="H8" t="s">
        <v>12</v>
      </c>
    </row>
    <row r="9" spans="1:8">
      <c r="A9">
        <v>10</v>
      </c>
      <c r="B9" t="s">
        <v>24</v>
      </c>
      <c r="C9">
        <v>0.010684</v>
      </c>
      <c r="D9">
        <v>1</v>
      </c>
      <c r="E9" t="s">
        <v>14</v>
      </c>
      <c r="F9" t="s">
        <v>11</v>
      </c>
      <c r="G9" t="s">
        <v>11</v>
      </c>
      <c r="H9" t="s">
        <v>12</v>
      </c>
    </row>
    <row r="10" spans="1:8">
      <c r="A10">
        <v>10</v>
      </c>
      <c r="B10" t="s">
        <v>25</v>
      </c>
      <c r="C10">
        <v>6.549111</v>
      </c>
      <c r="D10">
        <v>1</v>
      </c>
      <c r="E10" t="s">
        <v>14</v>
      </c>
      <c r="F10" t="s">
        <v>11</v>
      </c>
      <c r="G10" t="s">
        <v>11</v>
      </c>
      <c r="H10" t="s">
        <v>12</v>
      </c>
    </row>
    <row r="11" spans="1:8">
      <c r="A11">
        <v>10</v>
      </c>
      <c r="B11" t="s">
        <v>26</v>
      </c>
      <c r="C11">
        <v>16.350155</v>
      </c>
      <c r="D11">
        <v>1</v>
      </c>
      <c r="E11" t="s">
        <v>27</v>
      </c>
      <c r="F11" t="s">
        <v>28</v>
      </c>
      <c r="G11" t="s">
        <v>11</v>
      </c>
      <c r="H11" t="s">
        <v>12</v>
      </c>
    </row>
    <row r="12" spans="1:8">
      <c r="A12">
        <v>10</v>
      </c>
      <c r="B12" t="s">
        <v>29</v>
      </c>
      <c r="C12">
        <v>1.750284</v>
      </c>
      <c r="D12">
        <v>0</v>
      </c>
      <c r="E12" t="s">
        <v>14</v>
      </c>
      <c r="F12" t="s">
        <v>16</v>
      </c>
      <c r="G12" t="s">
        <v>16</v>
      </c>
      <c r="H12" t="s">
        <v>12</v>
      </c>
    </row>
    <row r="13" spans="1:8">
      <c r="A13">
        <v>10</v>
      </c>
      <c r="B13" t="s">
        <v>30</v>
      </c>
      <c r="C13">
        <v>2.041494</v>
      </c>
      <c r="D13">
        <v>1</v>
      </c>
      <c r="E13" t="s">
        <v>31</v>
      </c>
      <c r="F13" t="s">
        <v>32</v>
      </c>
      <c r="G13" t="s">
        <v>11</v>
      </c>
      <c r="H13" t="s">
        <v>12</v>
      </c>
    </row>
    <row r="14" spans="1:8">
      <c r="A14">
        <v>10</v>
      </c>
      <c r="B14" t="s">
        <v>33</v>
      </c>
      <c r="C14">
        <v>5.469863</v>
      </c>
      <c r="D14">
        <v>1</v>
      </c>
      <c r="E14" t="s">
        <v>34</v>
      </c>
      <c r="F14" t="s">
        <v>35</v>
      </c>
      <c r="G14" t="s">
        <v>11</v>
      </c>
      <c r="H14" t="s">
        <v>12</v>
      </c>
    </row>
    <row r="15" spans="1:8">
      <c r="A15">
        <v>10</v>
      </c>
      <c r="B15" t="s">
        <v>36</v>
      </c>
      <c r="C15">
        <v>0.112881</v>
      </c>
      <c r="D15">
        <v>1</v>
      </c>
      <c r="E15" t="s">
        <v>37</v>
      </c>
      <c r="F15" t="s">
        <v>11</v>
      </c>
      <c r="G15" t="s">
        <v>11</v>
      </c>
      <c r="H15" t="s">
        <v>12</v>
      </c>
    </row>
    <row r="16" spans="1:8">
      <c r="A16">
        <v>10</v>
      </c>
      <c r="B16" t="s">
        <v>38</v>
      </c>
      <c r="C16">
        <v>0.16328</v>
      </c>
      <c r="D16">
        <v>1</v>
      </c>
      <c r="E16" t="s">
        <v>37</v>
      </c>
      <c r="F16" t="s">
        <v>11</v>
      </c>
      <c r="G16" t="s">
        <v>11</v>
      </c>
      <c r="H16" t="s">
        <v>12</v>
      </c>
    </row>
    <row r="17" spans="1:8">
      <c r="A17">
        <v>10</v>
      </c>
      <c r="B17" t="s">
        <v>39</v>
      </c>
      <c r="C17">
        <v>0.039061</v>
      </c>
      <c r="D17">
        <v>1</v>
      </c>
      <c r="E17" t="s">
        <v>14</v>
      </c>
      <c r="F17" t="s">
        <v>11</v>
      </c>
      <c r="G17" t="s">
        <v>11</v>
      </c>
      <c r="H17" t="s">
        <v>12</v>
      </c>
    </row>
    <row r="18" spans="1:8">
      <c r="A18">
        <v>10</v>
      </c>
      <c r="B18" t="s">
        <v>40</v>
      </c>
      <c r="C18">
        <v>0.022713</v>
      </c>
      <c r="D18">
        <v>1</v>
      </c>
      <c r="E18" t="s">
        <v>14</v>
      </c>
      <c r="F18" t="s">
        <v>11</v>
      </c>
      <c r="G18" t="s">
        <v>11</v>
      </c>
      <c r="H18" t="s">
        <v>12</v>
      </c>
    </row>
    <row r="19" spans="1:8">
      <c r="A19">
        <v>10</v>
      </c>
      <c r="B19" t="s">
        <v>41</v>
      </c>
      <c r="C19">
        <v>0.007968</v>
      </c>
      <c r="D19">
        <v>1</v>
      </c>
      <c r="E19" t="s">
        <v>14</v>
      </c>
      <c r="F19" t="s">
        <v>11</v>
      </c>
      <c r="G19" t="s">
        <v>11</v>
      </c>
      <c r="H19" t="s">
        <v>12</v>
      </c>
    </row>
    <row r="20" spans="1:8">
      <c r="A20">
        <v>10</v>
      </c>
      <c r="B20" t="s">
        <v>42</v>
      </c>
      <c r="C20">
        <v>0.068872</v>
      </c>
      <c r="D20">
        <v>1</v>
      </c>
      <c r="E20" t="s">
        <v>37</v>
      </c>
      <c r="F20" t="s">
        <v>11</v>
      </c>
      <c r="G20" t="s">
        <v>11</v>
      </c>
      <c r="H20" t="s">
        <v>12</v>
      </c>
    </row>
    <row r="21" spans="1:8">
      <c r="A21">
        <v>10</v>
      </c>
      <c r="B21" t="s">
        <v>43</v>
      </c>
      <c r="C21">
        <v>0.020474</v>
      </c>
      <c r="D21">
        <v>1</v>
      </c>
      <c r="E21" t="s">
        <v>14</v>
      </c>
      <c r="F21" t="s">
        <v>11</v>
      </c>
      <c r="G21" t="s">
        <v>11</v>
      </c>
      <c r="H21" t="s">
        <v>12</v>
      </c>
    </row>
    <row r="22" spans="1:8">
      <c r="A22">
        <v>10</v>
      </c>
      <c r="B22" t="s">
        <v>44</v>
      </c>
      <c r="C22">
        <v>0.079443</v>
      </c>
      <c r="D22">
        <v>1</v>
      </c>
      <c r="E22" t="s">
        <v>37</v>
      </c>
      <c r="F22" t="s">
        <v>11</v>
      </c>
      <c r="G22" t="s">
        <v>11</v>
      </c>
      <c r="H22" t="s">
        <v>12</v>
      </c>
    </row>
    <row r="23" spans="1:8">
      <c r="A23">
        <v>10</v>
      </c>
      <c r="B23" t="s">
        <v>45</v>
      </c>
      <c r="C23">
        <v>1.081938</v>
      </c>
      <c r="D23">
        <v>1</v>
      </c>
      <c r="E23" t="s">
        <v>46</v>
      </c>
      <c r="F23" t="s">
        <v>10</v>
      </c>
      <c r="G23" t="s">
        <v>11</v>
      </c>
      <c r="H23" t="s">
        <v>12</v>
      </c>
    </row>
    <row r="24" spans="1:8">
      <c r="A24">
        <v>10</v>
      </c>
      <c r="B24" t="s">
        <v>47</v>
      </c>
      <c r="C24">
        <v>0.02187</v>
      </c>
      <c r="D24">
        <v>1</v>
      </c>
      <c r="E24" t="s">
        <v>14</v>
      </c>
      <c r="F24" t="s">
        <v>11</v>
      </c>
      <c r="G24" t="s">
        <v>11</v>
      </c>
      <c r="H24" t="s">
        <v>12</v>
      </c>
    </row>
    <row r="25" spans="1:8">
      <c r="A25">
        <v>10</v>
      </c>
      <c r="B25" t="s">
        <v>48</v>
      </c>
      <c r="C25">
        <v>1.761741</v>
      </c>
      <c r="D25">
        <v>1</v>
      </c>
      <c r="E25" t="s">
        <v>14</v>
      </c>
      <c r="F25" t="s">
        <v>11</v>
      </c>
      <c r="G25" t="s">
        <v>11</v>
      </c>
      <c r="H25" t="s">
        <v>12</v>
      </c>
    </row>
    <row r="26" spans="1:8">
      <c r="A26">
        <v>10</v>
      </c>
      <c r="B26" t="s">
        <v>49</v>
      </c>
      <c r="C26">
        <v>0.113492</v>
      </c>
      <c r="D26">
        <v>1</v>
      </c>
      <c r="E26" t="s">
        <v>37</v>
      </c>
      <c r="F26" t="s">
        <v>11</v>
      </c>
      <c r="G26" t="s">
        <v>11</v>
      </c>
      <c r="H26" t="s">
        <v>12</v>
      </c>
    </row>
    <row r="27" spans="1:8">
      <c r="A27">
        <v>10</v>
      </c>
      <c r="B27" t="s">
        <v>50</v>
      </c>
      <c r="C27">
        <v>0.010874</v>
      </c>
      <c r="D27">
        <v>1</v>
      </c>
      <c r="E27" t="s">
        <v>14</v>
      </c>
      <c r="F27" t="s">
        <v>11</v>
      </c>
      <c r="G27" t="s">
        <v>11</v>
      </c>
      <c r="H27" t="s">
        <v>12</v>
      </c>
    </row>
    <row r="28" spans="1:8">
      <c r="A28">
        <v>10</v>
      </c>
      <c r="B28" t="s">
        <v>51</v>
      </c>
      <c r="C28">
        <v>0.066082</v>
      </c>
      <c r="D28">
        <v>1</v>
      </c>
      <c r="E28" t="s">
        <v>14</v>
      </c>
      <c r="F28" t="s">
        <v>11</v>
      </c>
      <c r="G28" t="s">
        <v>11</v>
      </c>
      <c r="H28" t="s">
        <v>12</v>
      </c>
    </row>
    <row r="29" spans="1:8">
      <c r="A29">
        <v>10</v>
      </c>
      <c r="B29" t="s">
        <v>52</v>
      </c>
      <c r="C29">
        <v>1.994681</v>
      </c>
      <c r="D29">
        <v>1</v>
      </c>
      <c r="E29" t="s">
        <v>53</v>
      </c>
      <c r="F29" t="s">
        <v>54</v>
      </c>
      <c r="G29" t="s">
        <v>11</v>
      </c>
      <c r="H29" t="s">
        <v>12</v>
      </c>
    </row>
    <row r="30" spans="1:8">
      <c r="A30">
        <v>10</v>
      </c>
      <c r="B30" t="s">
        <v>55</v>
      </c>
      <c r="C30">
        <v>0.019341</v>
      </c>
      <c r="D30">
        <v>1</v>
      </c>
      <c r="E30" t="s">
        <v>14</v>
      </c>
      <c r="F30" t="s">
        <v>11</v>
      </c>
      <c r="G30" t="s">
        <v>11</v>
      </c>
      <c r="H30" t="s">
        <v>12</v>
      </c>
    </row>
    <row r="31" spans="1:8">
      <c r="A31">
        <v>10</v>
      </c>
      <c r="B31" t="s">
        <v>56</v>
      </c>
      <c r="C31">
        <v>0.036966</v>
      </c>
      <c r="D31">
        <v>1</v>
      </c>
      <c r="E31" t="s">
        <v>14</v>
      </c>
      <c r="F31" t="s">
        <v>11</v>
      </c>
      <c r="G31" t="s">
        <v>11</v>
      </c>
      <c r="H31" t="s">
        <v>12</v>
      </c>
    </row>
    <row r="32" spans="1:8">
      <c r="A32">
        <v>10</v>
      </c>
      <c r="B32" t="s">
        <v>57</v>
      </c>
      <c r="C32">
        <v>0.090635</v>
      </c>
      <c r="D32">
        <v>1</v>
      </c>
      <c r="E32" t="s">
        <v>14</v>
      </c>
      <c r="F32" t="s">
        <v>11</v>
      </c>
      <c r="G32" t="s">
        <v>11</v>
      </c>
      <c r="H32" t="s">
        <v>12</v>
      </c>
    </row>
    <row r="33" spans="1:8">
      <c r="A33">
        <v>10</v>
      </c>
      <c r="B33" t="s">
        <v>58</v>
      </c>
      <c r="C33">
        <v>0.020556</v>
      </c>
      <c r="D33">
        <v>1</v>
      </c>
      <c r="E33" t="s">
        <v>14</v>
      </c>
      <c r="F33" t="s">
        <v>11</v>
      </c>
      <c r="G33" t="s">
        <v>11</v>
      </c>
      <c r="H33" t="s">
        <v>12</v>
      </c>
    </row>
    <row r="34" spans="1:8">
      <c r="A34">
        <v>10</v>
      </c>
      <c r="B34" t="s">
        <v>59</v>
      </c>
      <c r="C34">
        <v>600.004026</v>
      </c>
      <c r="D34">
        <v>0</v>
      </c>
      <c r="E34" t="s">
        <v>14</v>
      </c>
      <c r="F34" t="s">
        <v>16</v>
      </c>
      <c r="G34" t="s">
        <v>16</v>
      </c>
      <c r="H34" t="s">
        <v>12</v>
      </c>
    </row>
    <row r="35" spans="1:8">
      <c r="A35">
        <v>10</v>
      </c>
      <c r="B35" t="s">
        <v>60</v>
      </c>
      <c r="C35">
        <v>602.802936</v>
      </c>
      <c r="D35">
        <v>0</v>
      </c>
      <c r="E35" t="s">
        <v>14</v>
      </c>
      <c r="F35" t="s">
        <v>16</v>
      </c>
      <c r="G35" t="s">
        <v>16</v>
      </c>
      <c r="H35" t="s">
        <v>12</v>
      </c>
    </row>
    <row r="36" spans="1:8">
      <c r="A36">
        <v>10</v>
      </c>
      <c r="B36" t="s">
        <v>61</v>
      </c>
      <c r="C36">
        <v>5.72027</v>
      </c>
      <c r="D36">
        <v>1</v>
      </c>
      <c r="E36" t="s">
        <v>62</v>
      </c>
      <c r="F36" t="s">
        <v>63</v>
      </c>
      <c r="G36" t="s">
        <v>11</v>
      </c>
      <c r="H36" t="s">
        <v>12</v>
      </c>
    </row>
    <row r="37" spans="1:8">
      <c r="A37">
        <v>10</v>
      </c>
      <c r="B37" t="s">
        <v>64</v>
      </c>
      <c r="C37">
        <v>1.16268</v>
      </c>
      <c r="D37">
        <v>1</v>
      </c>
      <c r="E37" t="s">
        <v>27</v>
      </c>
      <c r="F37" t="s">
        <v>65</v>
      </c>
      <c r="G37" t="s">
        <v>11</v>
      </c>
      <c r="H37" t="s">
        <v>12</v>
      </c>
    </row>
    <row r="38" spans="1:8">
      <c r="A38">
        <v>10</v>
      </c>
      <c r="B38" t="s">
        <v>66</v>
      </c>
      <c r="C38">
        <v>892.528864</v>
      </c>
      <c r="D38">
        <v>0</v>
      </c>
      <c r="E38" t="s">
        <v>14</v>
      </c>
      <c r="F38" t="s">
        <v>16</v>
      </c>
      <c r="G38" t="s">
        <v>16</v>
      </c>
      <c r="H38" t="s">
        <v>12</v>
      </c>
    </row>
    <row r="39" spans="1:8">
      <c r="A39">
        <v>10</v>
      </c>
      <c r="B39" t="s">
        <v>67</v>
      </c>
      <c r="C39">
        <v>617.531208</v>
      </c>
      <c r="D39">
        <v>-1</v>
      </c>
      <c r="E39" t="s">
        <v>14</v>
      </c>
      <c r="F39" t="s">
        <v>16</v>
      </c>
      <c r="G39" t="s">
        <v>19</v>
      </c>
      <c r="H39" t="s">
        <v>12</v>
      </c>
    </row>
    <row r="40" spans="1:8">
      <c r="A40">
        <v>15</v>
      </c>
      <c r="B40" t="s">
        <v>68</v>
      </c>
      <c r="C40">
        <v>603.148309</v>
      </c>
      <c r="D40">
        <v>0</v>
      </c>
      <c r="E40" t="s">
        <v>69</v>
      </c>
      <c r="F40" t="s">
        <v>16</v>
      </c>
      <c r="G40" t="s">
        <v>16</v>
      </c>
      <c r="H40" t="s">
        <v>12</v>
      </c>
    </row>
    <row r="41" spans="1:8">
      <c r="A41">
        <v>15</v>
      </c>
      <c r="B41" t="s">
        <v>8</v>
      </c>
      <c r="C41">
        <v>97.731797</v>
      </c>
      <c r="D41">
        <v>1</v>
      </c>
      <c r="E41" t="s">
        <v>70</v>
      </c>
      <c r="F41" t="s">
        <v>71</v>
      </c>
      <c r="G41" t="s">
        <v>11</v>
      </c>
      <c r="H41" t="s">
        <v>12</v>
      </c>
    </row>
    <row r="42" spans="1:8">
      <c r="A42">
        <v>15</v>
      </c>
      <c r="B42" t="s">
        <v>13</v>
      </c>
      <c r="C42">
        <v>10.209711</v>
      </c>
      <c r="D42">
        <v>1</v>
      </c>
      <c r="E42" t="s">
        <v>14</v>
      </c>
      <c r="F42" t="s">
        <v>11</v>
      </c>
      <c r="G42" t="s">
        <v>11</v>
      </c>
      <c r="H42" t="s">
        <v>12</v>
      </c>
    </row>
    <row r="43" spans="1:8">
      <c r="A43">
        <v>15</v>
      </c>
      <c r="B43" t="s">
        <v>72</v>
      </c>
      <c r="C43">
        <v>607.201649</v>
      </c>
      <c r="D43">
        <v>-1</v>
      </c>
      <c r="E43" t="s">
        <v>14</v>
      </c>
      <c r="F43" t="s">
        <v>16</v>
      </c>
      <c r="G43" t="s">
        <v>19</v>
      </c>
      <c r="H43" t="s">
        <v>12</v>
      </c>
    </row>
    <row r="44" spans="1:8">
      <c r="A44">
        <v>15</v>
      </c>
      <c r="B44" t="s">
        <v>17</v>
      </c>
      <c r="C44">
        <v>31.085142</v>
      </c>
      <c r="D44">
        <v>0</v>
      </c>
      <c r="E44" t="s">
        <v>14</v>
      </c>
      <c r="F44" t="s">
        <v>16</v>
      </c>
      <c r="G44" t="s">
        <v>16</v>
      </c>
      <c r="H44" t="s">
        <v>12</v>
      </c>
    </row>
    <row r="45" spans="1:8">
      <c r="A45">
        <v>15</v>
      </c>
      <c r="B45" t="s">
        <v>18</v>
      </c>
      <c r="C45">
        <v>632.240953</v>
      </c>
      <c r="D45">
        <v>-1</v>
      </c>
      <c r="E45" t="s">
        <v>14</v>
      </c>
      <c r="F45" t="s">
        <v>16</v>
      </c>
      <c r="G45" t="s">
        <v>19</v>
      </c>
      <c r="H45" t="s">
        <v>12</v>
      </c>
    </row>
    <row r="46" spans="1:8">
      <c r="A46">
        <v>15</v>
      </c>
      <c r="B46" t="s">
        <v>20</v>
      </c>
      <c r="C46">
        <v>863.594054</v>
      </c>
      <c r="D46">
        <v>0</v>
      </c>
      <c r="E46" t="s">
        <v>14</v>
      </c>
      <c r="F46" t="s">
        <v>16</v>
      </c>
      <c r="G46" t="s">
        <v>16</v>
      </c>
      <c r="H46" t="s">
        <v>12</v>
      </c>
    </row>
    <row r="47" spans="1:8">
      <c r="A47">
        <v>15</v>
      </c>
      <c r="B47" t="s">
        <v>21</v>
      </c>
      <c r="C47">
        <v>36.542929</v>
      </c>
      <c r="D47">
        <v>1</v>
      </c>
      <c r="E47" t="s">
        <v>73</v>
      </c>
      <c r="F47" t="s">
        <v>10</v>
      </c>
      <c r="G47" t="s">
        <v>11</v>
      </c>
      <c r="H47" t="s">
        <v>12</v>
      </c>
    </row>
    <row r="48" spans="1:8">
      <c r="A48">
        <v>15</v>
      </c>
      <c r="B48" t="s">
        <v>24</v>
      </c>
      <c r="C48">
        <v>0.011119</v>
      </c>
      <c r="D48">
        <v>1</v>
      </c>
      <c r="E48" t="s">
        <v>14</v>
      </c>
      <c r="F48" t="s">
        <v>11</v>
      </c>
      <c r="G48" t="s">
        <v>11</v>
      </c>
      <c r="H48" t="s">
        <v>12</v>
      </c>
    </row>
    <row r="49" spans="1:8">
      <c r="A49">
        <v>15</v>
      </c>
      <c r="B49" t="s">
        <v>25</v>
      </c>
      <c r="C49">
        <v>7.935836</v>
      </c>
      <c r="D49">
        <v>1</v>
      </c>
      <c r="E49" t="s">
        <v>37</v>
      </c>
      <c r="F49" t="s">
        <v>11</v>
      </c>
      <c r="G49" t="s">
        <v>11</v>
      </c>
      <c r="H49" t="s">
        <v>12</v>
      </c>
    </row>
    <row r="50" spans="1:8">
      <c r="A50">
        <v>15</v>
      </c>
      <c r="B50" t="s">
        <v>26</v>
      </c>
      <c r="C50">
        <v>80.897578</v>
      </c>
      <c r="D50">
        <v>1</v>
      </c>
      <c r="E50" t="s">
        <v>74</v>
      </c>
      <c r="F50" t="s">
        <v>10</v>
      </c>
      <c r="G50" t="s">
        <v>11</v>
      </c>
      <c r="H50" t="s">
        <v>12</v>
      </c>
    </row>
    <row r="51" spans="1:8">
      <c r="A51">
        <v>15</v>
      </c>
      <c r="B51" t="s">
        <v>75</v>
      </c>
      <c r="C51">
        <v>604.584234</v>
      </c>
      <c r="D51">
        <v>0</v>
      </c>
      <c r="E51" t="s">
        <v>76</v>
      </c>
      <c r="F51" t="s">
        <v>16</v>
      </c>
      <c r="G51" t="s">
        <v>16</v>
      </c>
      <c r="H51" t="s">
        <v>12</v>
      </c>
    </row>
    <row r="52" spans="1:8">
      <c r="A52">
        <v>15</v>
      </c>
      <c r="B52" t="s">
        <v>29</v>
      </c>
      <c r="C52">
        <v>1.881694</v>
      </c>
      <c r="D52">
        <v>0</v>
      </c>
      <c r="E52" t="s">
        <v>14</v>
      </c>
      <c r="F52" t="s">
        <v>16</v>
      </c>
      <c r="G52" t="s">
        <v>16</v>
      </c>
      <c r="H52" t="s">
        <v>12</v>
      </c>
    </row>
    <row r="53" spans="1:8">
      <c r="A53">
        <v>15</v>
      </c>
      <c r="B53" t="s">
        <v>30</v>
      </c>
      <c r="C53">
        <v>3.816332</v>
      </c>
      <c r="D53">
        <v>1</v>
      </c>
      <c r="E53" t="s">
        <v>77</v>
      </c>
      <c r="F53" t="s">
        <v>10</v>
      </c>
      <c r="G53" t="s">
        <v>11</v>
      </c>
      <c r="H53" t="s">
        <v>12</v>
      </c>
    </row>
    <row r="54" spans="1:8">
      <c r="A54">
        <v>15</v>
      </c>
      <c r="B54" t="s">
        <v>33</v>
      </c>
      <c r="C54">
        <v>12.264616</v>
      </c>
      <c r="D54">
        <v>1</v>
      </c>
      <c r="E54" t="s">
        <v>78</v>
      </c>
      <c r="F54" t="s">
        <v>10</v>
      </c>
      <c r="G54" t="s">
        <v>11</v>
      </c>
      <c r="H54" t="s">
        <v>12</v>
      </c>
    </row>
    <row r="55" spans="1:8">
      <c r="A55">
        <v>15</v>
      </c>
      <c r="B55" t="s">
        <v>36</v>
      </c>
      <c r="C55">
        <v>0.114157</v>
      </c>
      <c r="D55">
        <v>1</v>
      </c>
      <c r="E55" t="s">
        <v>37</v>
      </c>
      <c r="F55" t="s">
        <v>11</v>
      </c>
      <c r="G55" t="s">
        <v>11</v>
      </c>
      <c r="H55" t="s">
        <v>12</v>
      </c>
    </row>
    <row r="56" spans="1:8">
      <c r="A56">
        <v>15</v>
      </c>
      <c r="B56" t="s">
        <v>38</v>
      </c>
      <c r="C56">
        <v>0.202552</v>
      </c>
      <c r="D56">
        <v>1</v>
      </c>
      <c r="E56" t="s">
        <v>37</v>
      </c>
      <c r="F56" t="s">
        <v>11</v>
      </c>
      <c r="G56" t="s">
        <v>11</v>
      </c>
      <c r="H56" t="s">
        <v>12</v>
      </c>
    </row>
    <row r="57" spans="1:8">
      <c r="A57">
        <v>15</v>
      </c>
      <c r="B57" t="s">
        <v>39</v>
      </c>
      <c r="C57">
        <v>0.036912</v>
      </c>
      <c r="D57">
        <v>1</v>
      </c>
      <c r="E57" t="s">
        <v>14</v>
      </c>
      <c r="F57" t="s">
        <v>11</v>
      </c>
      <c r="G57" t="s">
        <v>11</v>
      </c>
      <c r="H57" t="s">
        <v>12</v>
      </c>
    </row>
    <row r="58" spans="1:8">
      <c r="A58">
        <v>15</v>
      </c>
      <c r="B58" t="s">
        <v>40</v>
      </c>
      <c r="C58">
        <v>0.019708</v>
      </c>
      <c r="D58">
        <v>1</v>
      </c>
      <c r="E58" t="s">
        <v>14</v>
      </c>
      <c r="F58" t="s">
        <v>11</v>
      </c>
      <c r="G58" t="s">
        <v>11</v>
      </c>
      <c r="H58" t="s">
        <v>12</v>
      </c>
    </row>
    <row r="59" spans="1:8">
      <c r="A59">
        <v>15</v>
      </c>
      <c r="B59" t="s">
        <v>41</v>
      </c>
      <c r="C59">
        <v>0.10856</v>
      </c>
      <c r="D59">
        <v>1</v>
      </c>
      <c r="E59" t="s">
        <v>14</v>
      </c>
      <c r="F59" t="s">
        <v>11</v>
      </c>
      <c r="G59" t="s">
        <v>11</v>
      </c>
      <c r="H59" t="s">
        <v>12</v>
      </c>
    </row>
    <row r="60" spans="1:8">
      <c r="A60">
        <v>15</v>
      </c>
      <c r="B60" t="s">
        <v>42</v>
      </c>
      <c r="C60">
        <v>0.042125</v>
      </c>
      <c r="D60">
        <v>1</v>
      </c>
      <c r="E60" t="s">
        <v>14</v>
      </c>
      <c r="F60" t="s">
        <v>11</v>
      </c>
      <c r="G60" t="s">
        <v>11</v>
      </c>
      <c r="H60" t="s">
        <v>12</v>
      </c>
    </row>
    <row r="61" spans="1:8">
      <c r="A61">
        <v>15</v>
      </c>
      <c r="B61" t="s">
        <v>43</v>
      </c>
      <c r="C61">
        <v>0.024501</v>
      </c>
      <c r="D61">
        <v>1</v>
      </c>
      <c r="E61" t="s">
        <v>14</v>
      </c>
      <c r="F61" t="s">
        <v>11</v>
      </c>
      <c r="G61" t="s">
        <v>11</v>
      </c>
      <c r="H61" t="s">
        <v>12</v>
      </c>
    </row>
    <row r="62" spans="1:8">
      <c r="A62">
        <v>15</v>
      </c>
      <c r="B62" t="s">
        <v>44</v>
      </c>
      <c r="C62">
        <v>0.355422</v>
      </c>
      <c r="D62">
        <v>1</v>
      </c>
      <c r="E62" t="s">
        <v>37</v>
      </c>
      <c r="F62" t="s">
        <v>11</v>
      </c>
      <c r="G62" t="s">
        <v>11</v>
      </c>
      <c r="H62" t="s">
        <v>12</v>
      </c>
    </row>
    <row r="63" spans="1:8">
      <c r="A63">
        <v>15</v>
      </c>
      <c r="B63" t="s">
        <v>45</v>
      </c>
      <c r="C63">
        <v>1.222842</v>
      </c>
      <c r="D63">
        <v>1</v>
      </c>
      <c r="E63" t="s">
        <v>79</v>
      </c>
      <c r="F63" t="s">
        <v>11</v>
      </c>
      <c r="G63" t="s">
        <v>11</v>
      </c>
      <c r="H63" t="s">
        <v>12</v>
      </c>
    </row>
    <row r="64" spans="1:8">
      <c r="A64">
        <v>15</v>
      </c>
      <c r="B64" t="s">
        <v>47</v>
      </c>
      <c r="C64">
        <v>0.021523</v>
      </c>
      <c r="D64">
        <v>1</v>
      </c>
      <c r="E64" t="s">
        <v>14</v>
      </c>
      <c r="F64" t="s">
        <v>11</v>
      </c>
      <c r="G64" t="s">
        <v>11</v>
      </c>
      <c r="H64" t="s">
        <v>12</v>
      </c>
    </row>
    <row r="65" spans="1:8">
      <c r="A65">
        <v>15</v>
      </c>
      <c r="B65" t="s">
        <v>48</v>
      </c>
      <c r="C65">
        <v>2.407074</v>
      </c>
      <c r="D65">
        <v>1</v>
      </c>
      <c r="E65" t="s">
        <v>14</v>
      </c>
      <c r="F65" t="s">
        <v>11</v>
      </c>
      <c r="G65" t="s">
        <v>11</v>
      </c>
      <c r="H65" t="s">
        <v>12</v>
      </c>
    </row>
    <row r="66" spans="1:8">
      <c r="A66">
        <v>15</v>
      </c>
      <c r="B66" t="s">
        <v>49</v>
      </c>
      <c r="C66">
        <v>0.110951</v>
      </c>
      <c r="D66">
        <v>1</v>
      </c>
      <c r="E66" t="s">
        <v>14</v>
      </c>
      <c r="F66" t="s">
        <v>11</v>
      </c>
      <c r="G66" t="s">
        <v>11</v>
      </c>
      <c r="H66" t="s">
        <v>12</v>
      </c>
    </row>
    <row r="67" spans="1:8">
      <c r="A67">
        <v>15</v>
      </c>
      <c r="B67" t="s">
        <v>50</v>
      </c>
      <c r="C67">
        <v>0.157469</v>
      </c>
      <c r="D67">
        <v>1</v>
      </c>
      <c r="E67" t="s">
        <v>14</v>
      </c>
      <c r="F67" t="s">
        <v>11</v>
      </c>
      <c r="G67" t="s">
        <v>11</v>
      </c>
      <c r="H67" t="s">
        <v>12</v>
      </c>
    </row>
    <row r="68" spans="1:8">
      <c r="A68">
        <v>15</v>
      </c>
      <c r="B68" t="s">
        <v>51</v>
      </c>
      <c r="C68">
        <v>0.064108</v>
      </c>
      <c r="D68">
        <v>1</v>
      </c>
      <c r="E68" t="s">
        <v>14</v>
      </c>
      <c r="F68" t="s">
        <v>11</v>
      </c>
      <c r="G68" t="s">
        <v>11</v>
      </c>
      <c r="H68" t="s">
        <v>12</v>
      </c>
    </row>
    <row r="69" spans="1:8">
      <c r="A69">
        <v>15</v>
      </c>
      <c r="B69" t="s">
        <v>52</v>
      </c>
      <c r="C69">
        <v>3.509771</v>
      </c>
      <c r="D69">
        <v>1</v>
      </c>
      <c r="E69" t="s">
        <v>80</v>
      </c>
      <c r="F69" t="s">
        <v>10</v>
      </c>
      <c r="G69" t="s">
        <v>11</v>
      </c>
      <c r="H69" t="s">
        <v>12</v>
      </c>
    </row>
    <row r="70" spans="1:8">
      <c r="A70">
        <v>15</v>
      </c>
      <c r="B70" t="s">
        <v>55</v>
      </c>
      <c r="C70">
        <v>0.247647</v>
      </c>
      <c r="D70">
        <v>1</v>
      </c>
      <c r="E70" t="s">
        <v>37</v>
      </c>
      <c r="F70" t="s">
        <v>11</v>
      </c>
      <c r="G70" t="s">
        <v>11</v>
      </c>
      <c r="H70" t="s">
        <v>12</v>
      </c>
    </row>
    <row r="71" spans="1:8">
      <c r="A71">
        <v>15</v>
      </c>
      <c r="B71" t="s">
        <v>56</v>
      </c>
      <c r="C71">
        <v>0.036056</v>
      </c>
      <c r="D71">
        <v>1</v>
      </c>
      <c r="E71" t="s">
        <v>14</v>
      </c>
      <c r="F71" t="s">
        <v>11</v>
      </c>
      <c r="G71" t="s">
        <v>11</v>
      </c>
      <c r="H71" t="s">
        <v>12</v>
      </c>
    </row>
    <row r="72" spans="1:8">
      <c r="A72">
        <v>15</v>
      </c>
      <c r="B72" t="s">
        <v>57</v>
      </c>
      <c r="C72">
        <v>0.087489</v>
      </c>
      <c r="D72">
        <v>1</v>
      </c>
      <c r="E72" t="s">
        <v>14</v>
      </c>
      <c r="F72" t="s">
        <v>11</v>
      </c>
      <c r="G72" t="s">
        <v>11</v>
      </c>
      <c r="H72" t="s">
        <v>12</v>
      </c>
    </row>
    <row r="73" spans="1:8">
      <c r="A73">
        <v>15</v>
      </c>
      <c r="B73" t="s">
        <v>58</v>
      </c>
      <c r="C73">
        <v>0.022041</v>
      </c>
      <c r="D73">
        <v>1</v>
      </c>
      <c r="E73" t="s">
        <v>14</v>
      </c>
      <c r="F73" t="s">
        <v>11</v>
      </c>
      <c r="G73" t="s">
        <v>11</v>
      </c>
      <c r="H73" t="s">
        <v>12</v>
      </c>
    </row>
    <row r="74" spans="1:8">
      <c r="A74">
        <v>15</v>
      </c>
      <c r="B74" t="s">
        <v>61</v>
      </c>
      <c r="C74">
        <v>20.411143</v>
      </c>
      <c r="D74">
        <v>1</v>
      </c>
      <c r="E74" t="s">
        <v>81</v>
      </c>
      <c r="F74" t="s">
        <v>10</v>
      </c>
      <c r="G74" t="s">
        <v>11</v>
      </c>
      <c r="H74" t="s">
        <v>12</v>
      </c>
    </row>
    <row r="75" spans="1:8">
      <c r="A75">
        <v>15</v>
      </c>
      <c r="B75" t="s">
        <v>64</v>
      </c>
      <c r="C75">
        <v>1.874257</v>
      </c>
      <c r="D75">
        <v>1</v>
      </c>
      <c r="E75" t="s">
        <v>82</v>
      </c>
      <c r="F75" t="s">
        <v>10</v>
      </c>
      <c r="G75" t="s">
        <v>11</v>
      </c>
      <c r="H75" t="s">
        <v>12</v>
      </c>
    </row>
    <row r="76" spans="1:8">
      <c r="A76">
        <v>15</v>
      </c>
      <c r="B76" t="s">
        <v>66</v>
      </c>
      <c r="C76">
        <v>775.160793</v>
      </c>
      <c r="D76">
        <v>0</v>
      </c>
      <c r="E76" t="s">
        <v>14</v>
      </c>
      <c r="F76" t="s">
        <v>16</v>
      </c>
      <c r="G76" t="s">
        <v>16</v>
      </c>
      <c r="H76" t="s">
        <v>12</v>
      </c>
    </row>
    <row r="77" spans="1:8">
      <c r="A77">
        <v>15</v>
      </c>
      <c r="B77" t="s">
        <v>67</v>
      </c>
      <c r="C77">
        <v>601.912886</v>
      </c>
      <c r="D77">
        <v>-1</v>
      </c>
      <c r="E77" t="s">
        <v>14</v>
      </c>
      <c r="F77" t="s">
        <v>16</v>
      </c>
      <c r="G77" t="s">
        <v>19</v>
      </c>
      <c r="H77" t="s">
        <v>12</v>
      </c>
    </row>
    <row r="78" spans="1:8">
      <c r="A78">
        <v>15</v>
      </c>
      <c r="B78" t="s">
        <v>83</v>
      </c>
      <c r="C78">
        <v>655.278107</v>
      </c>
      <c r="D78">
        <v>0</v>
      </c>
      <c r="E78" t="s">
        <v>69</v>
      </c>
      <c r="F78" t="s">
        <v>16</v>
      </c>
      <c r="G78" t="s">
        <v>16</v>
      </c>
      <c r="H78" t="s">
        <v>12</v>
      </c>
    </row>
    <row r="79" spans="1:8">
      <c r="A79">
        <v>20</v>
      </c>
      <c r="B79" t="s">
        <v>68</v>
      </c>
      <c r="C79">
        <v>647.914596</v>
      </c>
      <c r="D79">
        <v>0</v>
      </c>
      <c r="E79" t="s">
        <v>69</v>
      </c>
      <c r="F79" t="s">
        <v>16</v>
      </c>
      <c r="G79" t="s">
        <v>16</v>
      </c>
      <c r="H79" t="s">
        <v>12</v>
      </c>
    </row>
    <row r="80" spans="1:8">
      <c r="A80">
        <v>20</v>
      </c>
      <c r="B80" t="s">
        <v>84</v>
      </c>
      <c r="C80">
        <v>611.585593</v>
      </c>
      <c r="D80">
        <v>0</v>
      </c>
      <c r="E80" t="s">
        <v>69</v>
      </c>
      <c r="F80" t="s">
        <v>16</v>
      </c>
      <c r="G80" t="s">
        <v>16</v>
      </c>
      <c r="H80" t="s">
        <v>12</v>
      </c>
    </row>
    <row r="81" spans="1:8">
      <c r="A81">
        <v>20</v>
      </c>
      <c r="B81" t="s">
        <v>13</v>
      </c>
      <c r="C81">
        <v>11.99786</v>
      </c>
      <c r="D81">
        <v>1</v>
      </c>
      <c r="E81" t="s">
        <v>14</v>
      </c>
      <c r="F81" t="s">
        <v>11</v>
      </c>
      <c r="G81" t="s">
        <v>11</v>
      </c>
      <c r="H81" t="s">
        <v>12</v>
      </c>
    </row>
    <row r="82" spans="1:8">
      <c r="A82">
        <v>20</v>
      </c>
      <c r="B82" t="s">
        <v>15</v>
      </c>
      <c r="C82">
        <v>625.909345</v>
      </c>
      <c r="D82">
        <v>0</v>
      </c>
      <c r="E82" t="s">
        <v>14</v>
      </c>
      <c r="F82" t="s">
        <v>16</v>
      </c>
      <c r="G82" t="s">
        <v>16</v>
      </c>
      <c r="H82" t="s">
        <v>12</v>
      </c>
    </row>
    <row r="83" spans="1:8">
      <c r="A83">
        <v>20</v>
      </c>
      <c r="B83" t="s">
        <v>72</v>
      </c>
      <c r="C83">
        <v>626.84384</v>
      </c>
      <c r="D83">
        <v>-1</v>
      </c>
      <c r="E83" t="s">
        <v>14</v>
      </c>
      <c r="F83" t="s">
        <v>16</v>
      </c>
      <c r="G83" t="s">
        <v>19</v>
      </c>
      <c r="H83" t="s">
        <v>12</v>
      </c>
    </row>
    <row r="84" spans="1:8">
      <c r="A84">
        <v>20</v>
      </c>
      <c r="B84" t="s">
        <v>18</v>
      </c>
      <c r="C84">
        <v>642.180707</v>
      </c>
      <c r="D84">
        <v>-1</v>
      </c>
      <c r="E84" t="s">
        <v>14</v>
      </c>
      <c r="F84" t="s">
        <v>16</v>
      </c>
      <c r="G84" t="s">
        <v>19</v>
      </c>
      <c r="H84" t="s">
        <v>12</v>
      </c>
    </row>
    <row r="85" spans="1:8">
      <c r="A85">
        <v>20</v>
      </c>
      <c r="B85" t="s">
        <v>20</v>
      </c>
      <c r="C85">
        <v>865.918252</v>
      </c>
      <c r="D85">
        <v>0</v>
      </c>
      <c r="E85" t="s">
        <v>14</v>
      </c>
      <c r="F85" t="s">
        <v>16</v>
      </c>
      <c r="G85" t="s">
        <v>16</v>
      </c>
      <c r="H85" t="s">
        <v>12</v>
      </c>
    </row>
    <row r="86" spans="1:8">
      <c r="A86">
        <v>20</v>
      </c>
      <c r="B86" t="s">
        <v>21</v>
      </c>
      <c r="C86">
        <v>8.957707</v>
      </c>
      <c r="D86">
        <v>1</v>
      </c>
      <c r="E86" t="s">
        <v>85</v>
      </c>
      <c r="F86" t="s">
        <v>10</v>
      </c>
      <c r="G86" t="s">
        <v>11</v>
      </c>
      <c r="H86" t="s">
        <v>12</v>
      </c>
    </row>
    <row r="87" spans="1:8">
      <c r="A87">
        <v>20</v>
      </c>
      <c r="B87" t="s">
        <v>24</v>
      </c>
      <c r="C87">
        <v>0.011276</v>
      </c>
      <c r="D87">
        <v>1</v>
      </c>
      <c r="E87" t="s">
        <v>14</v>
      </c>
      <c r="F87" t="s">
        <v>11</v>
      </c>
      <c r="G87" t="s">
        <v>11</v>
      </c>
      <c r="H87" t="s">
        <v>12</v>
      </c>
    </row>
    <row r="88" spans="1:8">
      <c r="A88">
        <v>20</v>
      </c>
      <c r="B88" t="s">
        <v>25</v>
      </c>
      <c r="C88">
        <v>8.989588</v>
      </c>
      <c r="D88">
        <v>1</v>
      </c>
      <c r="E88" t="s">
        <v>37</v>
      </c>
      <c r="F88" t="s">
        <v>11</v>
      </c>
      <c r="G88" t="s">
        <v>11</v>
      </c>
      <c r="H88" t="s">
        <v>12</v>
      </c>
    </row>
    <row r="89" spans="1:8">
      <c r="A89">
        <v>20</v>
      </c>
      <c r="B89" t="s">
        <v>26</v>
      </c>
      <c r="C89">
        <v>92.199737</v>
      </c>
      <c r="D89">
        <v>1</v>
      </c>
      <c r="E89" t="s">
        <v>86</v>
      </c>
      <c r="F89" t="s">
        <v>10</v>
      </c>
      <c r="G89" t="s">
        <v>11</v>
      </c>
      <c r="H89" t="s">
        <v>12</v>
      </c>
    </row>
    <row r="90" spans="1:8">
      <c r="A90">
        <v>20</v>
      </c>
      <c r="B90" t="s">
        <v>29</v>
      </c>
      <c r="C90">
        <v>1.802384</v>
      </c>
      <c r="D90">
        <v>0</v>
      </c>
      <c r="E90" t="s">
        <v>14</v>
      </c>
      <c r="F90" t="s">
        <v>16</v>
      </c>
      <c r="G90" t="s">
        <v>16</v>
      </c>
      <c r="H90" t="s">
        <v>12</v>
      </c>
    </row>
    <row r="91" spans="1:8">
      <c r="A91">
        <v>20</v>
      </c>
      <c r="B91" t="s">
        <v>30</v>
      </c>
      <c r="C91">
        <v>1.920534</v>
      </c>
      <c r="D91">
        <v>1</v>
      </c>
      <c r="E91" t="s">
        <v>87</v>
      </c>
      <c r="F91" t="s">
        <v>10</v>
      </c>
      <c r="G91" t="s">
        <v>11</v>
      </c>
      <c r="H91" t="s">
        <v>12</v>
      </c>
    </row>
    <row r="92" spans="1:8">
      <c r="A92">
        <v>20</v>
      </c>
      <c r="B92" t="s">
        <v>33</v>
      </c>
      <c r="C92">
        <v>6.583587</v>
      </c>
      <c r="D92">
        <v>1</v>
      </c>
      <c r="E92" t="s">
        <v>88</v>
      </c>
      <c r="F92" t="s">
        <v>10</v>
      </c>
      <c r="G92" t="s">
        <v>11</v>
      </c>
      <c r="H92" t="s">
        <v>12</v>
      </c>
    </row>
    <row r="93" spans="1:8">
      <c r="A93">
        <v>20</v>
      </c>
      <c r="B93" t="s">
        <v>36</v>
      </c>
      <c r="C93">
        <v>0.145365</v>
      </c>
      <c r="D93">
        <v>1</v>
      </c>
      <c r="E93" t="s">
        <v>37</v>
      </c>
      <c r="F93" t="s">
        <v>11</v>
      </c>
      <c r="G93" t="s">
        <v>11</v>
      </c>
      <c r="H93" t="s">
        <v>12</v>
      </c>
    </row>
    <row r="94" spans="1:8">
      <c r="A94">
        <v>20</v>
      </c>
      <c r="B94" t="s">
        <v>38</v>
      </c>
      <c r="C94">
        <v>0.22875</v>
      </c>
      <c r="D94">
        <v>1</v>
      </c>
      <c r="E94" t="s">
        <v>37</v>
      </c>
      <c r="F94" t="s">
        <v>11</v>
      </c>
      <c r="G94" t="s">
        <v>11</v>
      </c>
      <c r="H94" t="s">
        <v>12</v>
      </c>
    </row>
    <row r="95" spans="1:8">
      <c r="A95">
        <v>20</v>
      </c>
      <c r="B95" t="s">
        <v>39</v>
      </c>
      <c r="C95">
        <v>0.03938</v>
      </c>
      <c r="D95">
        <v>1</v>
      </c>
      <c r="E95" t="s">
        <v>14</v>
      </c>
      <c r="F95" t="s">
        <v>11</v>
      </c>
      <c r="G95" t="s">
        <v>11</v>
      </c>
      <c r="H95" t="s">
        <v>12</v>
      </c>
    </row>
    <row r="96" spans="1:8">
      <c r="A96">
        <v>20</v>
      </c>
      <c r="B96" t="s">
        <v>40</v>
      </c>
      <c r="C96">
        <v>0.021619</v>
      </c>
      <c r="D96">
        <v>1</v>
      </c>
      <c r="E96" t="s">
        <v>14</v>
      </c>
      <c r="F96" t="s">
        <v>11</v>
      </c>
      <c r="G96" t="s">
        <v>11</v>
      </c>
      <c r="H96" t="s">
        <v>12</v>
      </c>
    </row>
    <row r="97" spans="1:8">
      <c r="A97">
        <v>20</v>
      </c>
      <c r="B97" t="s">
        <v>41</v>
      </c>
      <c r="C97">
        <v>0.109071</v>
      </c>
      <c r="D97">
        <v>1</v>
      </c>
      <c r="E97" t="s">
        <v>14</v>
      </c>
      <c r="F97" t="s">
        <v>11</v>
      </c>
      <c r="G97" t="s">
        <v>11</v>
      </c>
      <c r="H97" t="s">
        <v>12</v>
      </c>
    </row>
    <row r="98" spans="1:8">
      <c r="A98">
        <v>20</v>
      </c>
      <c r="B98" t="s">
        <v>42</v>
      </c>
      <c r="C98">
        <v>0.041704</v>
      </c>
      <c r="D98">
        <v>1</v>
      </c>
      <c r="E98" t="s">
        <v>14</v>
      </c>
      <c r="F98" t="s">
        <v>11</v>
      </c>
      <c r="G98" t="s">
        <v>11</v>
      </c>
      <c r="H98" t="s">
        <v>12</v>
      </c>
    </row>
    <row r="99" spans="1:8">
      <c r="A99">
        <v>20</v>
      </c>
      <c r="B99" t="s">
        <v>43</v>
      </c>
      <c r="C99">
        <v>0.020361</v>
      </c>
      <c r="D99">
        <v>1</v>
      </c>
      <c r="E99" t="s">
        <v>14</v>
      </c>
      <c r="F99" t="s">
        <v>11</v>
      </c>
      <c r="G99" t="s">
        <v>11</v>
      </c>
      <c r="H99" t="s">
        <v>12</v>
      </c>
    </row>
    <row r="100" spans="1:8">
      <c r="A100">
        <v>20</v>
      </c>
      <c r="B100" t="s">
        <v>44</v>
      </c>
      <c r="C100">
        <v>0.397269</v>
      </c>
      <c r="D100">
        <v>1</v>
      </c>
      <c r="E100" t="s">
        <v>37</v>
      </c>
      <c r="F100" t="s">
        <v>11</v>
      </c>
      <c r="G100" t="s">
        <v>11</v>
      </c>
      <c r="H100" t="s">
        <v>12</v>
      </c>
    </row>
    <row r="101" spans="1:8">
      <c r="A101">
        <v>20</v>
      </c>
      <c r="B101" t="s">
        <v>45</v>
      </c>
      <c r="C101">
        <v>1.213508</v>
      </c>
      <c r="D101">
        <v>1</v>
      </c>
      <c r="E101" t="s">
        <v>70</v>
      </c>
      <c r="F101" t="s">
        <v>11</v>
      </c>
      <c r="G101" t="s">
        <v>11</v>
      </c>
      <c r="H101" t="s">
        <v>12</v>
      </c>
    </row>
    <row r="102" spans="1:8">
      <c r="A102">
        <v>20</v>
      </c>
      <c r="B102" t="s">
        <v>47</v>
      </c>
      <c r="C102">
        <v>0.018673</v>
      </c>
      <c r="D102">
        <v>1</v>
      </c>
      <c r="E102" t="s">
        <v>14</v>
      </c>
      <c r="F102" t="s">
        <v>11</v>
      </c>
      <c r="G102" t="s">
        <v>11</v>
      </c>
      <c r="H102" t="s">
        <v>12</v>
      </c>
    </row>
    <row r="103" spans="1:8">
      <c r="A103">
        <v>20</v>
      </c>
      <c r="B103" t="s">
        <v>48</v>
      </c>
      <c r="C103">
        <v>2.834161</v>
      </c>
      <c r="D103">
        <v>1</v>
      </c>
      <c r="E103" t="s">
        <v>37</v>
      </c>
      <c r="F103" t="s">
        <v>11</v>
      </c>
      <c r="G103" t="s">
        <v>11</v>
      </c>
      <c r="H103" t="s">
        <v>12</v>
      </c>
    </row>
    <row r="104" spans="1:8">
      <c r="A104">
        <v>20</v>
      </c>
      <c r="B104" t="s">
        <v>49</v>
      </c>
      <c r="C104">
        <v>0.074219</v>
      </c>
      <c r="D104">
        <v>1</v>
      </c>
      <c r="E104" t="s">
        <v>14</v>
      </c>
      <c r="F104" t="s">
        <v>11</v>
      </c>
      <c r="G104" t="s">
        <v>11</v>
      </c>
      <c r="H104" t="s">
        <v>12</v>
      </c>
    </row>
    <row r="105" spans="1:8">
      <c r="A105">
        <v>20</v>
      </c>
      <c r="B105" t="s">
        <v>50</v>
      </c>
      <c r="C105">
        <v>0.160866</v>
      </c>
      <c r="D105">
        <v>1</v>
      </c>
      <c r="E105" t="s">
        <v>14</v>
      </c>
      <c r="F105" t="s">
        <v>11</v>
      </c>
      <c r="G105" t="s">
        <v>11</v>
      </c>
      <c r="H105" t="s">
        <v>12</v>
      </c>
    </row>
    <row r="106" spans="1:8">
      <c r="A106">
        <v>20</v>
      </c>
      <c r="B106" t="s">
        <v>51</v>
      </c>
      <c r="C106">
        <v>0.061083</v>
      </c>
      <c r="D106">
        <v>1</v>
      </c>
      <c r="E106" t="s">
        <v>14</v>
      </c>
      <c r="F106" t="s">
        <v>11</v>
      </c>
      <c r="G106" t="s">
        <v>11</v>
      </c>
      <c r="H106" t="s">
        <v>12</v>
      </c>
    </row>
    <row r="107" spans="1:8">
      <c r="A107">
        <v>20</v>
      </c>
      <c r="B107" t="s">
        <v>52</v>
      </c>
      <c r="C107">
        <v>5.308609</v>
      </c>
      <c r="D107">
        <v>1</v>
      </c>
      <c r="E107" t="s">
        <v>89</v>
      </c>
      <c r="F107" t="s">
        <v>10</v>
      </c>
      <c r="G107" t="s">
        <v>11</v>
      </c>
      <c r="H107" t="s">
        <v>12</v>
      </c>
    </row>
    <row r="108" spans="1:8">
      <c r="A108">
        <v>20</v>
      </c>
      <c r="B108" t="s">
        <v>55</v>
      </c>
      <c r="C108">
        <v>0.202808</v>
      </c>
      <c r="D108">
        <v>1</v>
      </c>
      <c r="E108" t="s">
        <v>14</v>
      </c>
      <c r="F108" t="s">
        <v>11</v>
      </c>
      <c r="G108" t="s">
        <v>11</v>
      </c>
      <c r="H108" t="s">
        <v>12</v>
      </c>
    </row>
    <row r="109" spans="1:8">
      <c r="A109">
        <v>20</v>
      </c>
      <c r="B109" t="s">
        <v>56</v>
      </c>
      <c r="C109">
        <v>0.040894</v>
      </c>
      <c r="D109">
        <v>1</v>
      </c>
      <c r="E109" t="s">
        <v>14</v>
      </c>
      <c r="F109" t="s">
        <v>11</v>
      </c>
      <c r="G109" t="s">
        <v>11</v>
      </c>
      <c r="H109" t="s">
        <v>12</v>
      </c>
    </row>
    <row r="110" spans="1:8">
      <c r="A110">
        <v>20</v>
      </c>
      <c r="B110" t="s">
        <v>57</v>
      </c>
      <c r="C110">
        <v>0.088065</v>
      </c>
      <c r="D110">
        <v>1</v>
      </c>
      <c r="E110" t="s">
        <v>14</v>
      </c>
      <c r="F110" t="s">
        <v>11</v>
      </c>
      <c r="G110" t="s">
        <v>11</v>
      </c>
      <c r="H110" t="s">
        <v>12</v>
      </c>
    </row>
    <row r="111" spans="1:8">
      <c r="A111">
        <v>20</v>
      </c>
      <c r="B111" t="s">
        <v>58</v>
      </c>
      <c r="C111">
        <v>0.018214</v>
      </c>
      <c r="D111">
        <v>1</v>
      </c>
      <c r="E111" t="s">
        <v>14</v>
      </c>
      <c r="F111" t="s">
        <v>11</v>
      </c>
      <c r="G111" t="s">
        <v>11</v>
      </c>
      <c r="H111" t="s">
        <v>12</v>
      </c>
    </row>
    <row r="112" spans="1:8">
      <c r="A112">
        <v>20</v>
      </c>
      <c r="B112" t="s">
        <v>61</v>
      </c>
      <c r="C112">
        <v>22.891811</v>
      </c>
      <c r="D112">
        <v>1</v>
      </c>
      <c r="E112" t="s">
        <v>31</v>
      </c>
      <c r="F112" t="s">
        <v>10</v>
      </c>
      <c r="G112" t="s">
        <v>11</v>
      </c>
      <c r="H112" t="s">
        <v>12</v>
      </c>
    </row>
    <row r="113" spans="1:8">
      <c r="A113">
        <v>20</v>
      </c>
      <c r="B113" t="s">
        <v>64</v>
      </c>
      <c r="C113">
        <v>1.804263</v>
      </c>
      <c r="D113">
        <v>1</v>
      </c>
      <c r="E113" t="s">
        <v>27</v>
      </c>
      <c r="F113" t="s">
        <v>11</v>
      </c>
      <c r="G113" t="s">
        <v>11</v>
      </c>
      <c r="H113" t="s">
        <v>12</v>
      </c>
    </row>
    <row r="114" spans="1:8">
      <c r="A114">
        <v>20</v>
      </c>
      <c r="B114" t="s">
        <v>67</v>
      </c>
      <c r="C114">
        <v>625.821707</v>
      </c>
      <c r="D114">
        <v>-1</v>
      </c>
      <c r="E114" t="s">
        <v>14</v>
      </c>
      <c r="F114" t="s">
        <v>16</v>
      </c>
      <c r="G114" t="s">
        <v>19</v>
      </c>
      <c r="H114" t="s">
        <v>12</v>
      </c>
    </row>
    <row r="115" spans="1:8">
      <c r="A115">
        <v>20</v>
      </c>
      <c r="B115" t="s">
        <v>83</v>
      </c>
      <c r="C115">
        <v>614.983747</v>
      </c>
      <c r="D115">
        <v>-1</v>
      </c>
      <c r="E115" t="s">
        <v>14</v>
      </c>
      <c r="F115" t="s">
        <v>16</v>
      </c>
      <c r="G115" t="s">
        <v>19</v>
      </c>
      <c r="H115" t="s">
        <v>12</v>
      </c>
    </row>
    <row r="116" spans="1:8">
      <c r="A116">
        <v>20</v>
      </c>
      <c r="B116" t="s">
        <v>90</v>
      </c>
      <c r="C116">
        <v>604.89793</v>
      </c>
      <c r="D116">
        <v>0</v>
      </c>
      <c r="E116" t="s">
        <v>14</v>
      </c>
      <c r="F116" t="s">
        <v>16</v>
      </c>
      <c r="G116" t="s">
        <v>16</v>
      </c>
      <c r="H116" t="s">
        <v>12</v>
      </c>
    </row>
    <row r="117" spans="1:8">
      <c r="A117">
        <v>25</v>
      </c>
      <c r="B117" t="s">
        <v>68</v>
      </c>
      <c r="C117">
        <v>663.994915</v>
      </c>
      <c r="D117">
        <v>0</v>
      </c>
      <c r="E117" t="s">
        <v>69</v>
      </c>
      <c r="F117" t="s">
        <v>16</v>
      </c>
      <c r="G117" t="s">
        <v>16</v>
      </c>
      <c r="H117" t="s">
        <v>12</v>
      </c>
    </row>
    <row r="118" spans="1:8">
      <c r="A118">
        <v>25</v>
      </c>
      <c r="B118" t="s">
        <v>8</v>
      </c>
      <c r="C118">
        <v>184.564858</v>
      </c>
      <c r="D118">
        <v>1</v>
      </c>
      <c r="E118" t="s">
        <v>91</v>
      </c>
      <c r="F118" t="s">
        <v>10</v>
      </c>
      <c r="G118" t="s">
        <v>11</v>
      </c>
      <c r="H118" t="s">
        <v>12</v>
      </c>
    </row>
    <row r="119" spans="1:8">
      <c r="A119">
        <v>25</v>
      </c>
      <c r="B119" t="s">
        <v>84</v>
      </c>
      <c r="C119">
        <v>609.470308</v>
      </c>
      <c r="D119">
        <v>0</v>
      </c>
      <c r="E119" t="s">
        <v>14</v>
      </c>
      <c r="F119" t="s">
        <v>16</v>
      </c>
      <c r="G119" t="s">
        <v>16</v>
      </c>
      <c r="H119" t="s">
        <v>12</v>
      </c>
    </row>
    <row r="120" spans="1:8">
      <c r="A120">
        <v>25</v>
      </c>
      <c r="B120" t="s">
        <v>13</v>
      </c>
      <c r="C120">
        <v>14.386088</v>
      </c>
      <c r="D120">
        <v>1</v>
      </c>
      <c r="E120" t="s">
        <v>14</v>
      </c>
      <c r="F120" t="s">
        <v>11</v>
      </c>
      <c r="G120" t="s">
        <v>11</v>
      </c>
      <c r="H120" t="s">
        <v>12</v>
      </c>
    </row>
    <row r="121" spans="1:8">
      <c r="A121">
        <v>25</v>
      </c>
      <c r="B121" t="s">
        <v>92</v>
      </c>
      <c r="C121">
        <v>623.854814</v>
      </c>
      <c r="D121">
        <v>0</v>
      </c>
      <c r="E121" t="s">
        <v>69</v>
      </c>
      <c r="F121" t="s">
        <v>16</v>
      </c>
      <c r="G121" t="s">
        <v>16</v>
      </c>
      <c r="H121" t="s">
        <v>12</v>
      </c>
    </row>
    <row r="122" spans="1:8">
      <c r="A122">
        <v>25</v>
      </c>
      <c r="B122" t="s">
        <v>72</v>
      </c>
      <c r="C122">
        <v>627.917836</v>
      </c>
      <c r="D122">
        <v>-1</v>
      </c>
      <c r="E122" t="s">
        <v>14</v>
      </c>
      <c r="F122" t="s">
        <v>16</v>
      </c>
      <c r="G122" t="s">
        <v>19</v>
      </c>
      <c r="H122" t="s">
        <v>12</v>
      </c>
    </row>
    <row r="123" spans="1:8">
      <c r="A123">
        <v>25</v>
      </c>
      <c r="B123" t="s">
        <v>18</v>
      </c>
      <c r="C123">
        <v>643.466044</v>
      </c>
      <c r="D123">
        <v>-1</v>
      </c>
      <c r="E123" t="s">
        <v>14</v>
      </c>
      <c r="F123" t="s">
        <v>16</v>
      </c>
      <c r="G123" t="s">
        <v>19</v>
      </c>
      <c r="H123" t="s">
        <v>12</v>
      </c>
    </row>
    <row r="124" spans="1:8">
      <c r="A124">
        <v>25</v>
      </c>
      <c r="B124" t="s">
        <v>20</v>
      </c>
      <c r="C124">
        <v>869.583522</v>
      </c>
      <c r="D124">
        <v>0</v>
      </c>
      <c r="E124" t="s">
        <v>14</v>
      </c>
      <c r="F124" t="s">
        <v>16</v>
      </c>
      <c r="G124" t="s">
        <v>16</v>
      </c>
      <c r="H124" t="s">
        <v>12</v>
      </c>
    </row>
    <row r="125" spans="1:8">
      <c r="A125">
        <v>25</v>
      </c>
      <c r="B125" t="s">
        <v>21</v>
      </c>
      <c r="C125">
        <v>6.223346</v>
      </c>
      <c r="D125">
        <v>1</v>
      </c>
      <c r="E125" t="s">
        <v>93</v>
      </c>
      <c r="F125" t="s">
        <v>10</v>
      </c>
      <c r="G125" t="s">
        <v>11</v>
      </c>
      <c r="H125" t="s">
        <v>12</v>
      </c>
    </row>
    <row r="126" spans="1:8">
      <c r="A126">
        <v>25</v>
      </c>
      <c r="B126" t="s">
        <v>24</v>
      </c>
      <c r="C126">
        <v>0.008148</v>
      </c>
      <c r="D126">
        <v>1</v>
      </c>
      <c r="E126" t="s">
        <v>14</v>
      </c>
      <c r="F126" t="s">
        <v>11</v>
      </c>
      <c r="G126" t="s">
        <v>11</v>
      </c>
      <c r="H126" t="s">
        <v>12</v>
      </c>
    </row>
    <row r="127" spans="1:8">
      <c r="A127">
        <v>25</v>
      </c>
      <c r="B127" t="s">
        <v>25</v>
      </c>
      <c r="C127">
        <v>9.977519</v>
      </c>
      <c r="D127">
        <v>1</v>
      </c>
      <c r="E127" t="s">
        <v>37</v>
      </c>
      <c r="F127" t="s">
        <v>11</v>
      </c>
      <c r="G127" t="s">
        <v>11</v>
      </c>
      <c r="H127" t="s">
        <v>12</v>
      </c>
    </row>
    <row r="128" spans="1:8">
      <c r="A128">
        <v>25</v>
      </c>
      <c r="B128" t="s">
        <v>26</v>
      </c>
      <c r="C128">
        <v>104.864186</v>
      </c>
      <c r="D128">
        <v>1</v>
      </c>
      <c r="E128" t="s">
        <v>94</v>
      </c>
      <c r="F128" t="s">
        <v>10</v>
      </c>
      <c r="G128" t="s">
        <v>11</v>
      </c>
      <c r="H128" t="s">
        <v>12</v>
      </c>
    </row>
    <row r="129" spans="1:8">
      <c r="A129">
        <v>25</v>
      </c>
      <c r="B129" t="s">
        <v>75</v>
      </c>
      <c r="C129">
        <v>602.536142</v>
      </c>
      <c r="D129">
        <v>0</v>
      </c>
      <c r="E129" t="s">
        <v>14</v>
      </c>
      <c r="F129" t="s">
        <v>16</v>
      </c>
      <c r="G129" t="s">
        <v>16</v>
      </c>
      <c r="H129" t="s">
        <v>12</v>
      </c>
    </row>
    <row r="130" spans="1:8">
      <c r="A130">
        <v>25</v>
      </c>
      <c r="B130" t="s">
        <v>29</v>
      </c>
      <c r="C130">
        <v>1.924704</v>
      </c>
      <c r="D130">
        <v>0</v>
      </c>
      <c r="E130" t="s">
        <v>14</v>
      </c>
      <c r="F130" t="s">
        <v>16</v>
      </c>
      <c r="G130" t="s">
        <v>16</v>
      </c>
      <c r="H130" t="s">
        <v>12</v>
      </c>
    </row>
    <row r="131" spans="1:8">
      <c r="A131">
        <v>25</v>
      </c>
      <c r="B131" t="s">
        <v>30</v>
      </c>
      <c r="C131">
        <v>2.883501</v>
      </c>
      <c r="D131">
        <v>1</v>
      </c>
      <c r="E131" t="s">
        <v>95</v>
      </c>
      <c r="F131" t="s">
        <v>10</v>
      </c>
      <c r="G131" t="s">
        <v>11</v>
      </c>
      <c r="H131" t="s">
        <v>12</v>
      </c>
    </row>
    <row r="132" spans="1:8">
      <c r="A132">
        <v>25</v>
      </c>
      <c r="B132" t="s">
        <v>33</v>
      </c>
      <c r="C132">
        <v>6.488544</v>
      </c>
      <c r="D132">
        <v>1</v>
      </c>
      <c r="E132" t="s">
        <v>96</v>
      </c>
      <c r="F132" t="s">
        <v>10</v>
      </c>
      <c r="G132" t="s">
        <v>11</v>
      </c>
      <c r="H132" t="s">
        <v>12</v>
      </c>
    </row>
    <row r="133" spans="1:8">
      <c r="A133">
        <v>25</v>
      </c>
      <c r="B133" t="s">
        <v>36</v>
      </c>
      <c r="C133">
        <v>0.854059</v>
      </c>
      <c r="D133">
        <v>1</v>
      </c>
      <c r="E133" t="s">
        <v>37</v>
      </c>
      <c r="F133" t="s">
        <v>11</v>
      </c>
      <c r="G133" t="s">
        <v>11</v>
      </c>
      <c r="H133" t="s">
        <v>12</v>
      </c>
    </row>
    <row r="134" spans="1:8">
      <c r="A134">
        <v>25</v>
      </c>
      <c r="B134" t="s">
        <v>38</v>
      </c>
      <c r="C134">
        <v>0.223854</v>
      </c>
      <c r="D134">
        <v>1</v>
      </c>
      <c r="E134" t="s">
        <v>37</v>
      </c>
      <c r="F134" t="s">
        <v>11</v>
      </c>
      <c r="G134" t="s">
        <v>11</v>
      </c>
      <c r="H134" t="s">
        <v>12</v>
      </c>
    </row>
    <row r="135" spans="1:8">
      <c r="A135">
        <v>25</v>
      </c>
      <c r="B135" t="s">
        <v>39</v>
      </c>
      <c r="C135">
        <v>0.039835</v>
      </c>
      <c r="D135">
        <v>1</v>
      </c>
      <c r="E135" t="s">
        <v>14</v>
      </c>
      <c r="F135" t="s">
        <v>11</v>
      </c>
      <c r="G135" t="s">
        <v>11</v>
      </c>
      <c r="H135" t="s">
        <v>12</v>
      </c>
    </row>
    <row r="136" spans="1:8">
      <c r="A136">
        <v>25</v>
      </c>
      <c r="B136" t="s">
        <v>40</v>
      </c>
      <c r="C136">
        <v>0.02424</v>
      </c>
      <c r="D136">
        <v>1</v>
      </c>
      <c r="E136" t="s">
        <v>14</v>
      </c>
      <c r="F136" t="s">
        <v>11</v>
      </c>
      <c r="G136" t="s">
        <v>11</v>
      </c>
      <c r="H136" t="s">
        <v>12</v>
      </c>
    </row>
    <row r="137" spans="1:8">
      <c r="A137">
        <v>25</v>
      </c>
      <c r="B137" t="s">
        <v>41</v>
      </c>
      <c r="C137">
        <v>0.109685</v>
      </c>
      <c r="D137">
        <v>1</v>
      </c>
      <c r="E137" t="s">
        <v>14</v>
      </c>
      <c r="F137" t="s">
        <v>11</v>
      </c>
      <c r="G137" t="s">
        <v>11</v>
      </c>
      <c r="H137" t="s">
        <v>12</v>
      </c>
    </row>
    <row r="138" spans="1:8">
      <c r="A138">
        <v>25</v>
      </c>
      <c r="B138" t="s">
        <v>42</v>
      </c>
      <c r="C138">
        <v>0.189444</v>
      </c>
      <c r="D138">
        <v>1</v>
      </c>
      <c r="E138" t="s">
        <v>14</v>
      </c>
      <c r="F138" t="s">
        <v>11</v>
      </c>
      <c r="G138" t="s">
        <v>11</v>
      </c>
      <c r="H138" t="s">
        <v>12</v>
      </c>
    </row>
    <row r="139" spans="1:8">
      <c r="A139">
        <v>25</v>
      </c>
      <c r="B139" t="s">
        <v>43</v>
      </c>
      <c r="C139">
        <v>0.020106</v>
      </c>
      <c r="D139">
        <v>1</v>
      </c>
      <c r="E139" t="s">
        <v>14</v>
      </c>
      <c r="F139" t="s">
        <v>11</v>
      </c>
      <c r="G139" t="s">
        <v>11</v>
      </c>
      <c r="H139" t="s">
        <v>12</v>
      </c>
    </row>
    <row r="140" spans="1:8">
      <c r="A140">
        <v>25</v>
      </c>
      <c r="B140" t="s">
        <v>44</v>
      </c>
      <c r="C140">
        <v>0.383386</v>
      </c>
      <c r="D140">
        <v>1</v>
      </c>
      <c r="E140" t="s">
        <v>14</v>
      </c>
      <c r="F140" t="s">
        <v>11</v>
      </c>
      <c r="G140" t="s">
        <v>11</v>
      </c>
      <c r="H140" t="s">
        <v>12</v>
      </c>
    </row>
    <row r="141" spans="1:8">
      <c r="A141">
        <v>25</v>
      </c>
      <c r="B141" t="s">
        <v>45</v>
      </c>
      <c r="C141">
        <v>0.869146</v>
      </c>
      <c r="D141">
        <v>1</v>
      </c>
      <c r="E141" t="s">
        <v>37</v>
      </c>
      <c r="F141" t="s">
        <v>11</v>
      </c>
      <c r="G141" t="s">
        <v>11</v>
      </c>
      <c r="H141" t="s">
        <v>12</v>
      </c>
    </row>
    <row r="142" spans="1:8">
      <c r="A142">
        <v>25</v>
      </c>
      <c r="B142" t="s">
        <v>47</v>
      </c>
      <c r="C142">
        <v>0.018878</v>
      </c>
      <c r="D142">
        <v>1</v>
      </c>
      <c r="E142" t="s">
        <v>14</v>
      </c>
      <c r="F142" t="s">
        <v>11</v>
      </c>
      <c r="G142" t="s">
        <v>11</v>
      </c>
      <c r="H142" t="s">
        <v>12</v>
      </c>
    </row>
    <row r="143" spans="1:8">
      <c r="A143">
        <v>25</v>
      </c>
      <c r="B143" t="s">
        <v>48</v>
      </c>
      <c r="C143">
        <v>2.916685</v>
      </c>
      <c r="D143">
        <v>1</v>
      </c>
      <c r="E143" t="s">
        <v>37</v>
      </c>
      <c r="F143" t="s">
        <v>11</v>
      </c>
      <c r="G143" t="s">
        <v>11</v>
      </c>
      <c r="H143" t="s">
        <v>12</v>
      </c>
    </row>
    <row r="144" spans="1:8">
      <c r="A144">
        <v>25</v>
      </c>
      <c r="B144" t="s">
        <v>49</v>
      </c>
      <c r="C144">
        <v>0.076766</v>
      </c>
      <c r="D144">
        <v>1</v>
      </c>
      <c r="E144" t="s">
        <v>14</v>
      </c>
      <c r="F144" t="s">
        <v>11</v>
      </c>
      <c r="G144" t="s">
        <v>11</v>
      </c>
      <c r="H144" t="s">
        <v>12</v>
      </c>
    </row>
    <row r="145" spans="1:8">
      <c r="A145">
        <v>25</v>
      </c>
      <c r="B145" t="s">
        <v>50</v>
      </c>
      <c r="C145">
        <v>0.158362</v>
      </c>
      <c r="D145">
        <v>1</v>
      </c>
      <c r="E145" t="s">
        <v>14</v>
      </c>
      <c r="F145" t="s">
        <v>11</v>
      </c>
      <c r="G145" t="s">
        <v>11</v>
      </c>
      <c r="H145" t="s">
        <v>12</v>
      </c>
    </row>
    <row r="146" spans="1:8">
      <c r="A146">
        <v>25</v>
      </c>
      <c r="B146" t="s">
        <v>51</v>
      </c>
      <c r="C146">
        <v>0.058863</v>
      </c>
      <c r="D146">
        <v>1</v>
      </c>
      <c r="E146" t="s">
        <v>14</v>
      </c>
      <c r="F146" t="s">
        <v>11</v>
      </c>
      <c r="G146" t="s">
        <v>11</v>
      </c>
      <c r="H146" t="s">
        <v>12</v>
      </c>
    </row>
    <row r="147" spans="1:8">
      <c r="A147">
        <v>25</v>
      </c>
      <c r="B147" t="s">
        <v>52</v>
      </c>
      <c r="C147">
        <v>3.236625</v>
      </c>
      <c r="D147">
        <v>1</v>
      </c>
      <c r="E147" t="s">
        <v>97</v>
      </c>
      <c r="F147" t="s">
        <v>10</v>
      </c>
      <c r="G147" t="s">
        <v>11</v>
      </c>
      <c r="H147" t="s">
        <v>12</v>
      </c>
    </row>
    <row r="148" spans="1:8">
      <c r="A148">
        <v>25</v>
      </c>
      <c r="B148" t="s">
        <v>55</v>
      </c>
      <c r="C148">
        <v>0.201317</v>
      </c>
      <c r="D148">
        <v>1</v>
      </c>
      <c r="E148" t="s">
        <v>14</v>
      </c>
      <c r="F148" t="s">
        <v>11</v>
      </c>
      <c r="G148" t="s">
        <v>11</v>
      </c>
      <c r="H148" t="s">
        <v>12</v>
      </c>
    </row>
    <row r="149" spans="1:8">
      <c r="A149">
        <v>25</v>
      </c>
      <c r="B149" t="s">
        <v>56</v>
      </c>
      <c r="C149">
        <v>0.037629</v>
      </c>
      <c r="D149">
        <v>1</v>
      </c>
      <c r="E149" t="s">
        <v>14</v>
      </c>
      <c r="F149" t="s">
        <v>11</v>
      </c>
      <c r="G149" t="s">
        <v>11</v>
      </c>
      <c r="H149" t="s">
        <v>12</v>
      </c>
    </row>
    <row r="150" spans="1:8">
      <c r="A150">
        <v>25</v>
      </c>
      <c r="B150" t="s">
        <v>57</v>
      </c>
      <c r="C150">
        <v>0.089194</v>
      </c>
      <c r="D150">
        <v>1</v>
      </c>
      <c r="E150" t="s">
        <v>14</v>
      </c>
      <c r="F150" t="s">
        <v>11</v>
      </c>
      <c r="G150" t="s">
        <v>11</v>
      </c>
      <c r="H150" t="s">
        <v>12</v>
      </c>
    </row>
    <row r="151" spans="1:8">
      <c r="A151">
        <v>25</v>
      </c>
      <c r="B151" t="s">
        <v>58</v>
      </c>
      <c r="C151">
        <v>0.021297</v>
      </c>
      <c r="D151">
        <v>1</v>
      </c>
      <c r="E151" t="s">
        <v>14</v>
      </c>
      <c r="F151" t="s">
        <v>11</v>
      </c>
      <c r="G151" t="s">
        <v>11</v>
      </c>
      <c r="H151" t="s">
        <v>12</v>
      </c>
    </row>
    <row r="152" spans="1:8">
      <c r="A152">
        <v>25</v>
      </c>
      <c r="B152" t="s">
        <v>61</v>
      </c>
      <c r="C152">
        <v>17.513802</v>
      </c>
      <c r="D152">
        <v>1</v>
      </c>
      <c r="E152" t="s">
        <v>98</v>
      </c>
      <c r="F152" t="s">
        <v>10</v>
      </c>
      <c r="G152" t="s">
        <v>11</v>
      </c>
      <c r="H152" t="s">
        <v>12</v>
      </c>
    </row>
    <row r="153" spans="1:8">
      <c r="A153">
        <v>25</v>
      </c>
      <c r="B153" t="s">
        <v>64</v>
      </c>
      <c r="C153">
        <v>1.367537</v>
      </c>
      <c r="D153">
        <v>1</v>
      </c>
      <c r="E153" t="s">
        <v>37</v>
      </c>
      <c r="F153" t="s">
        <v>11</v>
      </c>
      <c r="G153" t="s">
        <v>11</v>
      </c>
      <c r="H153" t="s">
        <v>12</v>
      </c>
    </row>
    <row r="154" spans="1:8">
      <c r="A154">
        <v>25</v>
      </c>
      <c r="B154" t="s">
        <v>99</v>
      </c>
      <c r="C154">
        <v>608.569112</v>
      </c>
      <c r="D154">
        <v>0</v>
      </c>
      <c r="E154" t="s">
        <v>14</v>
      </c>
      <c r="F154" t="s">
        <v>16</v>
      </c>
      <c r="G154" t="s">
        <v>16</v>
      </c>
      <c r="H154" t="s">
        <v>12</v>
      </c>
    </row>
    <row r="155" spans="1:8">
      <c r="A155">
        <v>25</v>
      </c>
      <c r="B155" t="s">
        <v>83</v>
      </c>
      <c r="C155">
        <v>635.457753</v>
      </c>
      <c r="D155">
        <v>-1</v>
      </c>
      <c r="E155" t="s">
        <v>14</v>
      </c>
      <c r="F155" t="s">
        <v>16</v>
      </c>
      <c r="G155" t="s">
        <v>19</v>
      </c>
      <c r="H155" t="s">
        <v>12</v>
      </c>
    </row>
    <row r="156" spans="1:8">
      <c r="A156">
        <v>25</v>
      </c>
      <c r="B156" t="s">
        <v>90</v>
      </c>
      <c r="C156">
        <v>611.696424</v>
      </c>
      <c r="D156">
        <v>0</v>
      </c>
      <c r="E156" t="s">
        <v>14</v>
      </c>
      <c r="F156" t="s">
        <v>16</v>
      </c>
      <c r="G156" t="s">
        <v>16</v>
      </c>
      <c r="H156" t="s">
        <v>12</v>
      </c>
    </row>
    <row r="157" spans="1:8">
      <c r="A157">
        <v>25</v>
      </c>
      <c r="B157" t="s">
        <v>100</v>
      </c>
      <c r="C157">
        <v>603.650563</v>
      </c>
      <c r="D157">
        <v>0</v>
      </c>
      <c r="E157" t="s">
        <v>69</v>
      </c>
      <c r="F157" t="s">
        <v>16</v>
      </c>
      <c r="G157" t="s">
        <v>16</v>
      </c>
      <c r="H157" t="s">
        <v>12</v>
      </c>
    </row>
    <row r="158" spans="1:8">
      <c r="A158">
        <v>30</v>
      </c>
      <c r="B158" t="s">
        <v>68</v>
      </c>
      <c r="C158">
        <v>602.818853</v>
      </c>
      <c r="D158">
        <v>0</v>
      </c>
      <c r="E158" t="s">
        <v>14</v>
      </c>
      <c r="F158" t="s">
        <v>16</v>
      </c>
      <c r="G158" t="s">
        <v>16</v>
      </c>
      <c r="H158" t="s">
        <v>12</v>
      </c>
    </row>
    <row r="159" spans="1:8">
      <c r="A159">
        <v>30</v>
      </c>
      <c r="B159" t="s">
        <v>84</v>
      </c>
      <c r="C159">
        <v>614.262832</v>
      </c>
      <c r="D159">
        <v>-1</v>
      </c>
      <c r="E159" t="s">
        <v>14</v>
      </c>
      <c r="F159" t="s">
        <v>16</v>
      </c>
      <c r="G159" t="s">
        <v>19</v>
      </c>
      <c r="H159" t="s">
        <v>12</v>
      </c>
    </row>
    <row r="160" spans="1:8">
      <c r="A160">
        <v>30</v>
      </c>
      <c r="B160" t="s">
        <v>13</v>
      </c>
      <c r="C160">
        <v>15.672828</v>
      </c>
      <c r="D160">
        <v>1</v>
      </c>
      <c r="E160" t="s">
        <v>14</v>
      </c>
      <c r="F160" t="s">
        <v>11</v>
      </c>
      <c r="G160" t="s">
        <v>11</v>
      </c>
      <c r="H160" t="s">
        <v>12</v>
      </c>
    </row>
    <row r="161" spans="1:8">
      <c r="A161">
        <v>30</v>
      </c>
      <c r="B161" t="s">
        <v>92</v>
      </c>
      <c r="C161">
        <v>620.81182</v>
      </c>
      <c r="D161">
        <v>0</v>
      </c>
      <c r="E161" t="s">
        <v>69</v>
      </c>
      <c r="F161" t="s">
        <v>16</v>
      </c>
      <c r="G161" t="s">
        <v>16</v>
      </c>
      <c r="H161" t="s">
        <v>12</v>
      </c>
    </row>
    <row r="162" spans="1:8">
      <c r="A162">
        <v>30</v>
      </c>
      <c r="B162" t="s">
        <v>72</v>
      </c>
      <c r="C162">
        <v>624.094799</v>
      </c>
      <c r="D162">
        <v>-1</v>
      </c>
      <c r="E162" t="s">
        <v>14</v>
      </c>
      <c r="F162" t="s">
        <v>16</v>
      </c>
      <c r="G162" t="s">
        <v>19</v>
      </c>
      <c r="H162" t="s">
        <v>12</v>
      </c>
    </row>
    <row r="163" spans="1:8">
      <c r="A163">
        <v>30</v>
      </c>
      <c r="B163" t="s">
        <v>18</v>
      </c>
      <c r="C163">
        <v>636.891472</v>
      </c>
      <c r="D163">
        <v>-1</v>
      </c>
      <c r="E163" t="s">
        <v>14</v>
      </c>
      <c r="F163" t="s">
        <v>16</v>
      </c>
      <c r="G163" t="s">
        <v>19</v>
      </c>
      <c r="H163" t="s">
        <v>12</v>
      </c>
    </row>
    <row r="164" spans="1:8">
      <c r="A164">
        <v>30</v>
      </c>
      <c r="B164" t="s">
        <v>20</v>
      </c>
      <c r="C164">
        <v>748.158276</v>
      </c>
      <c r="D164">
        <v>0</v>
      </c>
      <c r="E164" t="s">
        <v>14</v>
      </c>
      <c r="F164" t="s">
        <v>16</v>
      </c>
      <c r="G164" t="s">
        <v>16</v>
      </c>
      <c r="H164" t="s">
        <v>12</v>
      </c>
    </row>
    <row r="165" spans="1:8">
      <c r="A165">
        <v>30</v>
      </c>
      <c r="B165" t="s">
        <v>24</v>
      </c>
      <c r="C165">
        <v>0.007411</v>
      </c>
      <c r="D165">
        <v>1</v>
      </c>
      <c r="E165" t="s">
        <v>14</v>
      </c>
      <c r="F165" t="s">
        <v>11</v>
      </c>
      <c r="G165" t="s">
        <v>11</v>
      </c>
      <c r="H165" t="s">
        <v>12</v>
      </c>
    </row>
    <row r="166" spans="1:8">
      <c r="A166">
        <v>30</v>
      </c>
      <c r="B166" t="s">
        <v>25</v>
      </c>
      <c r="C166">
        <v>11.375027</v>
      </c>
      <c r="D166">
        <v>1</v>
      </c>
      <c r="E166" t="s">
        <v>37</v>
      </c>
      <c r="F166" t="s">
        <v>11</v>
      </c>
      <c r="G166" t="s">
        <v>11</v>
      </c>
      <c r="H166" t="s">
        <v>12</v>
      </c>
    </row>
    <row r="167" spans="1:8">
      <c r="A167">
        <v>30</v>
      </c>
      <c r="B167" t="s">
        <v>26</v>
      </c>
      <c r="C167">
        <v>100.684664</v>
      </c>
      <c r="D167">
        <v>1</v>
      </c>
      <c r="E167" t="s">
        <v>101</v>
      </c>
      <c r="F167" t="s">
        <v>10</v>
      </c>
      <c r="G167" t="s">
        <v>11</v>
      </c>
      <c r="H167" t="s">
        <v>12</v>
      </c>
    </row>
    <row r="168" spans="1:8">
      <c r="A168">
        <v>30</v>
      </c>
      <c r="B168" t="s">
        <v>75</v>
      </c>
      <c r="C168">
        <v>608.426318</v>
      </c>
      <c r="D168">
        <v>0</v>
      </c>
      <c r="E168" t="s">
        <v>102</v>
      </c>
      <c r="F168" t="s">
        <v>16</v>
      </c>
      <c r="G168" t="s">
        <v>16</v>
      </c>
      <c r="H168" t="s">
        <v>12</v>
      </c>
    </row>
    <row r="169" spans="1:8">
      <c r="A169">
        <v>30</v>
      </c>
      <c r="B169" t="s">
        <v>103</v>
      </c>
      <c r="C169">
        <v>610.145371</v>
      </c>
      <c r="D169">
        <v>0</v>
      </c>
      <c r="E169" t="s">
        <v>102</v>
      </c>
      <c r="F169" t="s">
        <v>16</v>
      </c>
      <c r="G169" t="s">
        <v>16</v>
      </c>
      <c r="H169" t="s">
        <v>12</v>
      </c>
    </row>
    <row r="170" spans="1:8">
      <c r="A170">
        <v>30</v>
      </c>
      <c r="B170" t="s">
        <v>30</v>
      </c>
      <c r="C170">
        <v>2.09966</v>
      </c>
      <c r="D170">
        <v>1</v>
      </c>
      <c r="E170" t="s">
        <v>104</v>
      </c>
      <c r="F170" t="s">
        <v>11</v>
      </c>
      <c r="G170" t="s">
        <v>11</v>
      </c>
      <c r="H170" t="s">
        <v>12</v>
      </c>
    </row>
    <row r="171" spans="1:8">
      <c r="A171">
        <v>30</v>
      </c>
      <c r="B171" t="s">
        <v>33</v>
      </c>
      <c r="C171">
        <v>5.704189</v>
      </c>
      <c r="D171">
        <v>1</v>
      </c>
      <c r="E171" t="s">
        <v>105</v>
      </c>
      <c r="F171" t="s">
        <v>10</v>
      </c>
      <c r="G171" t="s">
        <v>11</v>
      </c>
      <c r="H171" t="s">
        <v>12</v>
      </c>
    </row>
    <row r="172" spans="1:8">
      <c r="A172">
        <v>30</v>
      </c>
      <c r="B172" t="s">
        <v>106</v>
      </c>
      <c r="C172">
        <v>35.498098</v>
      </c>
      <c r="D172">
        <v>1</v>
      </c>
      <c r="E172" t="s">
        <v>107</v>
      </c>
      <c r="F172" t="s">
        <v>10</v>
      </c>
      <c r="G172" t="s">
        <v>11</v>
      </c>
      <c r="H172" t="s">
        <v>12</v>
      </c>
    </row>
    <row r="173" spans="1:8">
      <c r="A173">
        <v>30</v>
      </c>
      <c r="B173" t="s">
        <v>36</v>
      </c>
      <c r="C173">
        <v>0.929653</v>
      </c>
      <c r="D173">
        <v>1</v>
      </c>
      <c r="E173" t="s">
        <v>37</v>
      </c>
      <c r="F173" t="s">
        <v>11</v>
      </c>
      <c r="G173" t="s">
        <v>11</v>
      </c>
      <c r="H173" t="s">
        <v>12</v>
      </c>
    </row>
    <row r="174" spans="1:8">
      <c r="A174">
        <v>30</v>
      </c>
      <c r="B174" t="s">
        <v>38</v>
      </c>
      <c r="C174">
        <v>0.734175</v>
      </c>
      <c r="D174">
        <v>1</v>
      </c>
      <c r="E174" t="s">
        <v>37</v>
      </c>
      <c r="F174" t="s">
        <v>11</v>
      </c>
      <c r="G174" t="s">
        <v>11</v>
      </c>
      <c r="H174" t="s">
        <v>12</v>
      </c>
    </row>
    <row r="175" spans="1:8">
      <c r="A175">
        <v>30</v>
      </c>
      <c r="B175" t="s">
        <v>39</v>
      </c>
      <c r="C175">
        <v>0.038624</v>
      </c>
      <c r="D175">
        <v>1</v>
      </c>
      <c r="E175" t="s">
        <v>14</v>
      </c>
      <c r="F175" t="s">
        <v>11</v>
      </c>
      <c r="G175" t="s">
        <v>11</v>
      </c>
      <c r="H175" t="s">
        <v>12</v>
      </c>
    </row>
    <row r="176" spans="1:8">
      <c r="A176">
        <v>30</v>
      </c>
      <c r="B176" t="s">
        <v>40</v>
      </c>
      <c r="C176">
        <v>0.017727</v>
      </c>
      <c r="D176">
        <v>1</v>
      </c>
      <c r="E176" t="s">
        <v>14</v>
      </c>
      <c r="F176" t="s">
        <v>11</v>
      </c>
      <c r="G176" t="s">
        <v>11</v>
      </c>
      <c r="H176" t="s">
        <v>12</v>
      </c>
    </row>
    <row r="177" spans="1:8">
      <c r="A177">
        <v>30</v>
      </c>
      <c r="B177" t="s">
        <v>41</v>
      </c>
      <c r="C177">
        <v>0.110938</v>
      </c>
      <c r="D177">
        <v>1</v>
      </c>
      <c r="E177" t="s">
        <v>14</v>
      </c>
      <c r="F177" t="s">
        <v>11</v>
      </c>
      <c r="G177" t="s">
        <v>11</v>
      </c>
      <c r="H177" t="s">
        <v>12</v>
      </c>
    </row>
    <row r="178" spans="1:8">
      <c r="A178">
        <v>30</v>
      </c>
      <c r="B178" t="s">
        <v>42</v>
      </c>
      <c r="C178">
        <v>0.192865</v>
      </c>
      <c r="D178">
        <v>1</v>
      </c>
      <c r="E178" t="s">
        <v>14</v>
      </c>
      <c r="F178" t="s">
        <v>11</v>
      </c>
      <c r="G178" t="s">
        <v>11</v>
      </c>
      <c r="H178" t="s">
        <v>12</v>
      </c>
    </row>
    <row r="179" spans="1:8">
      <c r="A179">
        <v>30</v>
      </c>
      <c r="B179" t="s">
        <v>43</v>
      </c>
      <c r="C179">
        <v>0.046961</v>
      </c>
      <c r="D179">
        <v>1</v>
      </c>
      <c r="E179" t="s">
        <v>14</v>
      </c>
      <c r="F179" t="s">
        <v>11</v>
      </c>
      <c r="G179" t="s">
        <v>11</v>
      </c>
      <c r="H179" t="s">
        <v>12</v>
      </c>
    </row>
    <row r="180" spans="1:8">
      <c r="A180">
        <v>30</v>
      </c>
      <c r="B180" t="s">
        <v>44</v>
      </c>
      <c r="C180">
        <v>0.334333</v>
      </c>
      <c r="D180">
        <v>1</v>
      </c>
      <c r="E180" t="s">
        <v>14</v>
      </c>
      <c r="F180" t="s">
        <v>11</v>
      </c>
      <c r="G180" t="s">
        <v>11</v>
      </c>
      <c r="H180" t="s">
        <v>12</v>
      </c>
    </row>
    <row r="181" spans="1:8">
      <c r="A181">
        <v>30</v>
      </c>
      <c r="B181" t="s">
        <v>45</v>
      </c>
      <c r="C181">
        <v>0.959957</v>
      </c>
      <c r="D181">
        <v>1</v>
      </c>
      <c r="E181" t="s">
        <v>37</v>
      </c>
      <c r="F181" t="s">
        <v>11</v>
      </c>
      <c r="G181" t="s">
        <v>11</v>
      </c>
      <c r="H181" t="s">
        <v>12</v>
      </c>
    </row>
    <row r="182" spans="1:8">
      <c r="A182">
        <v>30</v>
      </c>
      <c r="B182" t="s">
        <v>47</v>
      </c>
      <c r="C182">
        <v>0.018791</v>
      </c>
      <c r="D182">
        <v>1</v>
      </c>
      <c r="E182" t="s">
        <v>14</v>
      </c>
      <c r="F182" t="s">
        <v>11</v>
      </c>
      <c r="G182" t="s">
        <v>11</v>
      </c>
      <c r="H182" t="s">
        <v>12</v>
      </c>
    </row>
    <row r="183" spans="1:8">
      <c r="A183">
        <v>30</v>
      </c>
      <c r="B183" t="s">
        <v>48</v>
      </c>
      <c r="C183">
        <v>3.306367</v>
      </c>
      <c r="D183">
        <v>1</v>
      </c>
      <c r="E183" t="s">
        <v>14</v>
      </c>
      <c r="F183" t="s">
        <v>11</v>
      </c>
      <c r="G183" t="s">
        <v>11</v>
      </c>
      <c r="H183" t="s">
        <v>12</v>
      </c>
    </row>
    <row r="184" spans="1:8">
      <c r="A184">
        <v>30</v>
      </c>
      <c r="B184" t="s">
        <v>49</v>
      </c>
      <c r="C184">
        <v>0.07778</v>
      </c>
      <c r="D184">
        <v>1</v>
      </c>
      <c r="E184" t="s">
        <v>14</v>
      </c>
      <c r="F184" t="s">
        <v>11</v>
      </c>
      <c r="G184" t="s">
        <v>11</v>
      </c>
      <c r="H184" t="s">
        <v>12</v>
      </c>
    </row>
    <row r="185" spans="1:8">
      <c r="A185">
        <v>30</v>
      </c>
      <c r="B185" t="s">
        <v>50</v>
      </c>
      <c r="C185">
        <v>0.157261</v>
      </c>
      <c r="D185">
        <v>1</v>
      </c>
      <c r="E185" t="s">
        <v>14</v>
      </c>
      <c r="F185" t="s">
        <v>11</v>
      </c>
      <c r="G185" t="s">
        <v>11</v>
      </c>
      <c r="H185" t="s">
        <v>12</v>
      </c>
    </row>
    <row r="186" spans="1:8">
      <c r="A186">
        <v>30</v>
      </c>
      <c r="B186" t="s">
        <v>51</v>
      </c>
      <c r="C186">
        <v>0.059876</v>
      </c>
      <c r="D186">
        <v>1</v>
      </c>
      <c r="E186" t="s">
        <v>14</v>
      </c>
      <c r="F186" t="s">
        <v>11</v>
      </c>
      <c r="G186" t="s">
        <v>11</v>
      </c>
      <c r="H186" t="s">
        <v>12</v>
      </c>
    </row>
    <row r="187" spans="1:8">
      <c r="A187">
        <v>30</v>
      </c>
      <c r="B187" t="s">
        <v>52</v>
      </c>
      <c r="C187">
        <v>2.831951</v>
      </c>
      <c r="D187">
        <v>1</v>
      </c>
      <c r="E187" t="s">
        <v>9</v>
      </c>
      <c r="F187" t="s">
        <v>11</v>
      </c>
      <c r="G187" t="s">
        <v>11</v>
      </c>
      <c r="H187" t="s">
        <v>12</v>
      </c>
    </row>
    <row r="188" spans="1:8">
      <c r="A188">
        <v>30</v>
      </c>
      <c r="B188" t="s">
        <v>55</v>
      </c>
      <c r="C188">
        <v>0.204354</v>
      </c>
      <c r="D188">
        <v>1</v>
      </c>
      <c r="E188" t="s">
        <v>14</v>
      </c>
      <c r="F188" t="s">
        <v>11</v>
      </c>
      <c r="G188" t="s">
        <v>11</v>
      </c>
      <c r="H188" t="s">
        <v>12</v>
      </c>
    </row>
    <row r="189" spans="1:8">
      <c r="A189">
        <v>30</v>
      </c>
      <c r="B189" t="s">
        <v>56</v>
      </c>
      <c r="C189">
        <v>0.04498</v>
      </c>
      <c r="D189">
        <v>1</v>
      </c>
      <c r="E189" t="s">
        <v>14</v>
      </c>
      <c r="F189" t="s">
        <v>11</v>
      </c>
      <c r="G189" t="s">
        <v>11</v>
      </c>
      <c r="H189" t="s">
        <v>12</v>
      </c>
    </row>
    <row r="190" spans="1:8">
      <c r="A190">
        <v>30</v>
      </c>
      <c r="B190" t="s">
        <v>57</v>
      </c>
      <c r="C190">
        <v>0.085619</v>
      </c>
      <c r="D190">
        <v>1</v>
      </c>
      <c r="E190" t="s">
        <v>14</v>
      </c>
      <c r="F190" t="s">
        <v>11</v>
      </c>
      <c r="G190" t="s">
        <v>11</v>
      </c>
      <c r="H190" t="s">
        <v>12</v>
      </c>
    </row>
    <row r="191" spans="1:8">
      <c r="A191">
        <v>30</v>
      </c>
      <c r="B191" t="s">
        <v>58</v>
      </c>
      <c r="C191">
        <v>0.022835</v>
      </c>
      <c r="D191">
        <v>1</v>
      </c>
      <c r="E191" t="s">
        <v>14</v>
      </c>
      <c r="F191" t="s">
        <v>11</v>
      </c>
      <c r="G191" t="s">
        <v>11</v>
      </c>
      <c r="H191" t="s">
        <v>12</v>
      </c>
    </row>
    <row r="192" spans="1:8">
      <c r="A192">
        <v>30</v>
      </c>
      <c r="B192" t="s">
        <v>61</v>
      </c>
      <c r="C192">
        <v>23.74667</v>
      </c>
      <c r="D192">
        <v>1</v>
      </c>
      <c r="E192" t="s">
        <v>108</v>
      </c>
      <c r="F192" t="s">
        <v>10</v>
      </c>
      <c r="G192" t="s">
        <v>11</v>
      </c>
      <c r="H192" t="s">
        <v>12</v>
      </c>
    </row>
    <row r="193" spans="1:8">
      <c r="A193">
        <v>30</v>
      </c>
      <c r="B193" t="s">
        <v>109</v>
      </c>
      <c r="C193">
        <v>39.931805</v>
      </c>
      <c r="D193">
        <v>0</v>
      </c>
      <c r="E193" t="s">
        <v>14</v>
      </c>
      <c r="F193" t="s">
        <v>16</v>
      </c>
      <c r="G193" t="s">
        <v>16</v>
      </c>
      <c r="H193" t="s">
        <v>12</v>
      </c>
    </row>
    <row r="194" spans="1:8">
      <c r="A194">
        <v>30</v>
      </c>
      <c r="B194" t="s">
        <v>64</v>
      </c>
      <c r="C194">
        <v>1.578161</v>
      </c>
      <c r="D194">
        <v>1</v>
      </c>
      <c r="E194" t="s">
        <v>37</v>
      </c>
      <c r="F194" t="s">
        <v>11</v>
      </c>
      <c r="G194" t="s">
        <v>11</v>
      </c>
      <c r="H194" t="s">
        <v>12</v>
      </c>
    </row>
    <row r="195" spans="1:8">
      <c r="A195">
        <v>30</v>
      </c>
      <c r="B195" t="s">
        <v>99</v>
      </c>
      <c r="C195">
        <v>605.517975</v>
      </c>
      <c r="D195">
        <v>0</v>
      </c>
      <c r="E195" t="s">
        <v>14</v>
      </c>
      <c r="F195" t="s">
        <v>16</v>
      </c>
      <c r="G195" t="s">
        <v>16</v>
      </c>
      <c r="H195" t="s">
        <v>12</v>
      </c>
    </row>
    <row r="196" spans="1:8">
      <c r="A196">
        <v>30</v>
      </c>
      <c r="B196" t="s">
        <v>66</v>
      </c>
      <c r="C196">
        <v>703.07072</v>
      </c>
      <c r="D196">
        <v>0</v>
      </c>
      <c r="E196" t="s">
        <v>14</v>
      </c>
      <c r="F196" t="s">
        <v>16</v>
      </c>
      <c r="G196" t="s">
        <v>16</v>
      </c>
      <c r="H196" t="s">
        <v>12</v>
      </c>
    </row>
    <row r="197" spans="1:8">
      <c r="A197">
        <v>30</v>
      </c>
      <c r="B197" t="s">
        <v>90</v>
      </c>
      <c r="C197">
        <v>641.575728</v>
      </c>
      <c r="D197">
        <v>0</v>
      </c>
      <c r="E197" t="s">
        <v>102</v>
      </c>
      <c r="F197" t="s">
        <v>16</v>
      </c>
      <c r="G197" t="s">
        <v>16</v>
      </c>
      <c r="H197" t="s">
        <v>12</v>
      </c>
    </row>
    <row r="198" spans="1:8">
      <c r="A198">
        <v>30</v>
      </c>
      <c r="B198" t="s">
        <v>100</v>
      </c>
      <c r="C198">
        <v>614.028362</v>
      </c>
      <c r="D198">
        <v>0</v>
      </c>
      <c r="E198" t="s">
        <v>102</v>
      </c>
      <c r="F198" t="s">
        <v>16</v>
      </c>
      <c r="G198" t="s">
        <v>16</v>
      </c>
      <c r="H198" t="s">
        <v>12</v>
      </c>
    </row>
  </sheetData>
  <sortState ref="A2:H198">
    <sortCondition ref="A1:A19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3" sqref="D13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C17" sqref="C2:C17"/>
    </sheetView>
  </sheetViews>
  <sheetFormatPr defaultColWidth="9" defaultRowHeight="14" outlineLevelCol="2"/>
  <cols>
    <col min="1" max="1" width="20" customWidth="1"/>
    <col min="3" max="3" width="21.0909090909091" customWidth="1"/>
  </cols>
  <sheetData>
    <row r="1" spans="1:3">
      <c r="A1" t="s">
        <v>106</v>
      </c>
      <c r="C1" s="2" t="s">
        <v>110</v>
      </c>
    </row>
    <row r="2" spans="1:3">
      <c r="A2" t="s">
        <v>8</v>
      </c>
      <c r="C2" t="s">
        <v>111</v>
      </c>
    </row>
    <row r="3" spans="1:3">
      <c r="A3" t="s">
        <v>60</v>
      </c>
      <c r="C3" t="s">
        <v>112</v>
      </c>
    </row>
    <row r="4" spans="1:3">
      <c r="A4" t="s">
        <v>21</v>
      </c>
      <c r="C4" t="s">
        <v>113</v>
      </c>
    </row>
    <row r="5" spans="1:3">
      <c r="A5" t="s">
        <v>114</v>
      </c>
      <c r="C5" t="s">
        <v>115</v>
      </c>
    </row>
    <row r="6" spans="1:3">
      <c r="A6" t="s">
        <v>90</v>
      </c>
      <c r="C6" t="s">
        <v>116</v>
      </c>
    </row>
    <row r="7" spans="1:3">
      <c r="A7" t="s">
        <v>117</v>
      </c>
      <c r="C7" t="s">
        <v>118</v>
      </c>
    </row>
    <row r="8" spans="1:3">
      <c r="A8" t="s">
        <v>119</v>
      </c>
      <c r="C8" t="s">
        <v>120</v>
      </c>
    </row>
    <row r="9" spans="1:3">
      <c r="A9" t="s">
        <v>121</v>
      </c>
      <c r="C9" t="s">
        <v>122</v>
      </c>
    </row>
    <row r="10" spans="1:3">
      <c r="A10" t="s">
        <v>68</v>
      </c>
      <c r="C10" t="s">
        <v>66</v>
      </c>
    </row>
    <row r="11" spans="1:3">
      <c r="A11" t="s">
        <v>99</v>
      </c>
      <c r="C11" t="s">
        <v>123</v>
      </c>
    </row>
    <row r="12" spans="1:3">
      <c r="A12" t="s">
        <v>92</v>
      </c>
      <c r="C12" t="s">
        <v>124</v>
      </c>
    </row>
    <row r="13" spans="1:3">
      <c r="A13" t="s">
        <v>103</v>
      </c>
      <c r="C13" t="s">
        <v>125</v>
      </c>
    </row>
    <row r="14" spans="1:3">
      <c r="A14" t="s">
        <v>126</v>
      </c>
      <c r="C14" t="s">
        <v>127</v>
      </c>
    </row>
    <row r="15" spans="1:3">
      <c r="A15" t="s">
        <v>128</v>
      </c>
      <c r="C15" t="s">
        <v>129</v>
      </c>
    </row>
    <row r="16" spans="1:3">
      <c r="A16" t="s">
        <v>130</v>
      </c>
      <c r="C16" t="s">
        <v>131</v>
      </c>
    </row>
    <row r="17" spans="1:3">
      <c r="A17" t="s">
        <v>132</v>
      </c>
      <c r="C17" t="s">
        <v>29</v>
      </c>
    </row>
    <row r="18" spans="1:3">
      <c r="A18" t="s">
        <v>29</v>
      </c>
    </row>
    <row r="19" spans="1:3">
      <c r="A19" t="s">
        <v>133</v>
      </c>
    </row>
    <row r="20" spans="1:3">
      <c r="A20" t="s">
        <v>134</v>
      </c>
    </row>
    <row r="21" spans="1:3">
      <c r="A21" t="s">
        <v>135</v>
      </c>
    </row>
    <row r="22" spans="1:3">
      <c r="A22" t="s">
        <v>136</v>
      </c>
    </row>
    <row r="23" spans="1:3">
      <c r="A23" t="s">
        <v>100</v>
      </c>
    </row>
    <row r="24" spans="1:3">
      <c r="A24" t="s">
        <v>137</v>
      </c>
    </row>
    <row r="25" spans="1:3">
      <c r="A25" t="s">
        <v>138</v>
      </c>
    </row>
    <row r="26" spans="1:3">
      <c r="A26" t="s">
        <v>139</v>
      </c>
    </row>
    <row r="27" spans="1:3">
      <c r="A27" t="s">
        <v>67</v>
      </c>
    </row>
    <row r="28" spans="1:3">
      <c r="A28" t="s">
        <v>140</v>
      </c>
    </row>
    <row r="29" spans="1:3">
      <c r="A29" t="s">
        <v>59</v>
      </c>
    </row>
    <row r="30" spans="1:3">
      <c r="A30" t="s">
        <v>141</v>
      </c>
    </row>
    <row r="31" spans="1:3">
      <c r="A31" t="s">
        <v>142</v>
      </c>
    </row>
    <row r="32" spans="1:3">
      <c r="A32" t="s">
        <v>143</v>
      </c>
    </row>
    <row r="33" spans="1:1">
      <c r="A33" t="s">
        <v>144</v>
      </c>
    </row>
    <row r="34" spans="1:1">
      <c r="A34" t="s">
        <v>15</v>
      </c>
    </row>
    <row r="35" spans="1:1">
      <c r="A35" t="s">
        <v>145</v>
      </c>
    </row>
    <row r="36" spans="1:1">
      <c r="A36" t="s">
        <v>83</v>
      </c>
    </row>
    <row r="37" spans="1:1">
      <c r="A37" t="s">
        <v>146</v>
      </c>
    </row>
    <row r="38" spans="1:1">
      <c r="A38" t="s">
        <v>147</v>
      </c>
    </row>
    <row r="39" spans="1:1">
      <c r="A39" t="s">
        <v>75</v>
      </c>
    </row>
    <row r="40" spans="1:1">
      <c r="A40" t="s">
        <v>109</v>
      </c>
    </row>
    <row r="41" spans="1:1">
      <c r="A41" t="s">
        <v>17</v>
      </c>
    </row>
    <row r="42" spans="1:1">
      <c r="A42" t="s">
        <v>84</v>
      </c>
    </row>
    <row r="43" spans="1:1">
      <c r="A43" t="s">
        <v>148</v>
      </c>
    </row>
    <row r="44" spans="1:1">
      <c r="A44" t="s">
        <v>72</v>
      </c>
    </row>
    <row r="45" spans="1:1">
      <c r="A45" t="s">
        <v>149</v>
      </c>
    </row>
    <row r="46" spans="1:1">
      <c r="A46" t="s">
        <v>150</v>
      </c>
    </row>
    <row r="47" spans="1:1">
      <c r="A47" t="s">
        <v>151</v>
      </c>
    </row>
    <row r="48" spans="1:1">
      <c r="A48" t="s">
        <v>152</v>
      </c>
    </row>
    <row r="49" spans="1:1">
      <c r="A49" t="s">
        <v>153</v>
      </c>
    </row>
    <row r="50" spans="1:1">
      <c r="A50" t="s">
        <v>154</v>
      </c>
    </row>
    <row r="51" spans="1:1">
      <c r="A51" t="s">
        <v>155</v>
      </c>
    </row>
  </sheetData>
  <autoFilter xmlns:etc="http://www.wps.cn/officeDocument/2017/etCustomData" ref="A4:A5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opLeftCell="A37" workbookViewId="0">
      <selection activeCell="F2" sqref="F2:F80"/>
    </sheetView>
  </sheetViews>
  <sheetFormatPr defaultColWidth="9" defaultRowHeight="14" outlineLevelCol="5"/>
  <cols>
    <col min="1" max="1" width="25.4545454545455" customWidth="1"/>
    <col min="3" max="3" width="11.3636363636364" customWidth="1"/>
    <col min="5" max="5" width="26.3636363636364" customWidth="1"/>
    <col min="6" max="6" width="9.54545454545454" customWidth="1"/>
  </cols>
  <sheetData>
    <row r="1" spans="1:6">
      <c r="A1" t="s">
        <v>156</v>
      </c>
      <c r="B1" t="s">
        <v>3</v>
      </c>
      <c r="C1" t="s">
        <v>157</v>
      </c>
      <c r="E1" t="s">
        <v>158</v>
      </c>
    </row>
    <row r="2" spans="1:6">
      <c r="A2" t="s">
        <v>68</v>
      </c>
      <c r="B2">
        <v>600</v>
      </c>
      <c r="E2" t="s">
        <v>68</v>
      </c>
      <c r="F2">
        <v>0.376336</v>
      </c>
    </row>
    <row r="3" spans="1:6">
      <c r="A3" t="s">
        <v>117</v>
      </c>
      <c r="B3">
        <v>600</v>
      </c>
      <c r="E3" t="s">
        <v>117</v>
      </c>
      <c r="F3">
        <v>0.052106</v>
      </c>
    </row>
    <row r="4" spans="1:6">
      <c r="A4" t="s">
        <v>142</v>
      </c>
      <c r="B4">
        <v>600</v>
      </c>
      <c r="E4" t="s">
        <v>142</v>
      </c>
      <c r="F4">
        <v>0.207221</v>
      </c>
    </row>
    <row r="5" spans="1:6">
      <c r="A5" t="s">
        <v>8</v>
      </c>
      <c r="B5">
        <v>0.314764</v>
      </c>
      <c r="C5">
        <v>1</v>
      </c>
      <c r="E5" t="s">
        <v>8</v>
      </c>
      <c r="F5">
        <v>0.02165</v>
      </c>
    </row>
    <row r="6" spans="1:6">
      <c r="A6" t="s">
        <v>84</v>
      </c>
      <c r="B6">
        <v>600</v>
      </c>
      <c r="E6" t="s">
        <v>84</v>
      </c>
      <c r="F6">
        <v>5.87001</v>
      </c>
    </row>
    <row r="7" spans="1:6">
      <c r="A7" t="s">
        <v>132</v>
      </c>
      <c r="B7">
        <v>600</v>
      </c>
      <c r="E7" t="s">
        <v>132</v>
      </c>
      <c r="F7">
        <v>600</v>
      </c>
    </row>
    <row r="8" spans="1:6">
      <c r="A8" t="s">
        <v>92</v>
      </c>
      <c r="B8">
        <v>600</v>
      </c>
      <c r="E8" t="s">
        <v>92</v>
      </c>
      <c r="F8">
        <v>0.654876</v>
      </c>
    </row>
    <row r="9" spans="1:6">
      <c r="A9" t="s">
        <v>13</v>
      </c>
      <c r="B9">
        <v>8.496755</v>
      </c>
      <c r="C9">
        <v>1</v>
      </c>
      <c r="E9" t="s">
        <v>13</v>
      </c>
      <c r="F9">
        <v>0.025274</v>
      </c>
    </row>
    <row r="10" spans="1:6">
      <c r="A10" t="s">
        <v>137</v>
      </c>
      <c r="B10">
        <v>600</v>
      </c>
      <c r="E10" t="s">
        <v>137</v>
      </c>
      <c r="F10">
        <v>4.18293</v>
      </c>
    </row>
    <row r="11" spans="1:6">
      <c r="A11" t="s">
        <v>15</v>
      </c>
      <c r="B11">
        <v>600</v>
      </c>
      <c r="C11">
        <v>0</v>
      </c>
      <c r="E11" t="s">
        <v>15</v>
      </c>
      <c r="F11">
        <v>0.124359</v>
      </c>
    </row>
    <row r="12" spans="1:6">
      <c r="A12" t="s">
        <v>119</v>
      </c>
      <c r="B12">
        <v>600</v>
      </c>
      <c r="E12" t="s">
        <v>119</v>
      </c>
      <c r="F12">
        <v>0.787779</v>
      </c>
    </row>
    <row r="13" spans="1:6">
      <c r="A13" t="s">
        <v>143</v>
      </c>
      <c r="B13">
        <v>600</v>
      </c>
      <c r="E13" t="s">
        <v>143</v>
      </c>
      <c r="F13">
        <v>16.6239</v>
      </c>
    </row>
    <row r="14" spans="1:6">
      <c r="A14" t="s">
        <v>141</v>
      </c>
      <c r="B14">
        <v>600</v>
      </c>
      <c r="E14" t="s">
        <v>141</v>
      </c>
      <c r="F14">
        <v>0.81238</v>
      </c>
    </row>
    <row r="15" spans="1:6">
      <c r="A15" t="s">
        <v>140</v>
      </c>
      <c r="B15">
        <v>600</v>
      </c>
      <c r="E15" t="s">
        <v>140</v>
      </c>
      <c r="F15">
        <v>0.067691</v>
      </c>
    </row>
    <row r="16" spans="1:6">
      <c r="A16" t="s">
        <v>130</v>
      </c>
      <c r="B16">
        <v>600</v>
      </c>
      <c r="E16" t="s">
        <v>130</v>
      </c>
      <c r="F16">
        <v>1.6001</v>
      </c>
    </row>
    <row r="17" spans="1:6">
      <c r="A17" t="s">
        <v>72</v>
      </c>
      <c r="B17">
        <v>600</v>
      </c>
      <c r="E17" t="s">
        <v>72</v>
      </c>
      <c r="F17">
        <v>0.220865</v>
      </c>
    </row>
    <row r="18" spans="1:6">
      <c r="A18" t="s">
        <v>17</v>
      </c>
      <c r="B18">
        <v>600</v>
      </c>
      <c r="C18">
        <v>0</v>
      </c>
      <c r="E18" t="s">
        <v>17</v>
      </c>
      <c r="F18">
        <v>10.1235</v>
      </c>
    </row>
    <row r="19" spans="1:6">
      <c r="A19" t="s">
        <v>146</v>
      </c>
      <c r="B19">
        <v>600</v>
      </c>
      <c r="E19" t="s">
        <v>146</v>
      </c>
      <c r="F19">
        <v>0.1187</v>
      </c>
    </row>
    <row r="20" spans="1:6">
      <c r="A20" t="s">
        <v>18</v>
      </c>
      <c r="B20">
        <v>600</v>
      </c>
      <c r="C20">
        <v>-1</v>
      </c>
      <c r="E20" t="s">
        <v>18</v>
      </c>
      <c r="F20">
        <v>0.054098</v>
      </c>
    </row>
    <row r="21" spans="1:6">
      <c r="A21" t="s">
        <v>136</v>
      </c>
      <c r="B21">
        <v>600</v>
      </c>
      <c r="E21" t="s">
        <v>136</v>
      </c>
      <c r="F21">
        <v>0.237698</v>
      </c>
    </row>
    <row r="22" spans="1:6">
      <c r="A22" t="s">
        <v>134</v>
      </c>
      <c r="B22">
        <v>600</v>
      </c>
      <c r="E22" t="s">
        <v>134</v>
      </c>
      <c r="F22">
        <v>3.87735</v>
      </c>
    </row>
    <row r="23" spans="1:6">
      <c r="A23" t="s">
        <v>20</v>
      </c>
      <c r="B23">
        <v>600</v>
      </c>
      <c r="C23">
        <v>0</v>
      </c>
      <c r="E23" t="s">
        <v>20</v>
      </c>
      <c r="F23">
        <v>96.8775</v>
      </c>
    </row>
    <row r="24" spans="1:6">
      <c r="A24" t="s">
        <v>21</v>
      </c>
      <c r="B24">
        <v>3.205877</v>
      </c>
      <c r="C24">
        <v>1</v>
      </c>
      <c r="E24" t="s">
        <v>21</v>
      </c>
      <c r="F24">
        <v>0.025467</v>
      </c>
    </row>
    <row r="25" spans="1:6">
      <c r="A25" t="s">
        <v>24</v>
      </c>
      <c r="B25">
        <v>0.010684</v>
      </c>
      <c r="C25">
        <v>1</v>
      </c>
      <c r="E25" t="s">
        <v>24</v>
      </c>
      <c r="F25">
        <v>0.068138</v>
      </c>
    </row>
    <row r="26" spans="1:6">
      <c r="A26" t="s">
        <v>25</v>
      </c>
      <c r="B26">
        <v>6.549111</v>
      </c>
      <c r="C26">
        <v>1</v>
      </c>
      <c r="E26" t="s">
        <v>25</v>
      </c>
      <c r="F26">
        <v>0.036648</v>
      </c>
    </row>
    <row r="27" spans="1:6">
      <c r="A27" t="s">
        <v>26</v>
      </c>
      <c r="B27">
        <v>16.350155</v>
      </c>
      <c r="C27">
        <v>1</v>
      </c>
      <c r="E27" t="s">
        <v>26</v>
      </c>
      <c r="F27">
        <v>0.0295</v>
      </c>
    </row>
    <row r="28" spans="1:6">
      <c r="A28" t="s">
        <v>135</v>
      </c>
      <c r="B28">
        <v>600</v>
      </c>
      <c r="E28" t="s">
        <v>135</v>
      </c>
      <c r="F28">
        <v>14.2922</v>
      </c>
    </row>
    <row r="29" spans="1:6">
      <c r="A29" t="s">
        <v>75</v>
      </c>
      <c r="B29">
        <v>600</v>
      </c>
      <c r="E29" t="s">
        <v>75</v>
      </c>
      <c r="F29">
        <v>600</v>
      </c>
    </row>
    <row r="30" spans="1:6">
      <c r="A30" t="s">
        <v>103</v>
      </c>
      <c r="B30">
        <v>600</v>
      </c>
      <c r="E30" t="s">
        <v>103</v>
      </c>
      <c r="F30">
        <v>600</v>
      </c>
    </row>
    <row r="31" spans="1:6">
      <c r="A31" t="s">
        <v>154</v>
      </c>
      <c r="B31">
        <v>600</v>
      </c>
      <c r="E31" t="s">
        <v>154</v>
      </c>
      <c r="F31">
        <v>1.34954</v>
      </c>
    </row>
    <row r="32" spans="1:6">
      <c r="A32" t="s">
        <v>145</v>
      </c>
      <c r="B32">
        <v>600</v>
      </c>
      <c r="E32" t="s">
        <v>145</v>
      </c>
      <c r="F32">
        <v>312.253</v>
      </c>
    </row>
    <row r="33" spans="1:6">
      <c r="A33" t="s">
        <v>133</v>
      </c>
      <c r="B33">
        <v>600</v>
      </c>
      <c r="E33" t="s">
        <v>133</v>
      </c>
      <c r="F33">
        <v>0.175184</v>
      </c>
    </row>
    <row r="34" spans="1:6">
      <c r="A34" t="s">
        <v>151</v>
      </c>
      <c r="B34">
        <v>600</v>
      </c>
      <c r="E34" t="s">
        <v>151</v>
      </c>
      <c r="F34">
        <v>0.280296</v>
      </c>
    </row>
    <row r="35" spans="1:6">
      <c r="A35" t="s">
        <v>30</v>
      </c>
      <c r="B35">
        <v>2.041494</v>
      </c>
      <c r="C35">
        <v>1</v>
      </c>
      <c r="E35" t="s">
        <v>30</v>
      </c>
      <c r="F35">
        <v>0.056494</v>
      </c>
    </row>
    <row r="36" spans="1:6">
      <c r="A36" t="s">
        <v>33</v>
      </c>
      <c r="B36">
        <v>5.469863</v>
      </c>
      <c r="C36">
        <v>1</v>
      </c>
      <c r="E36" t="s">
        <v>33</v>
      </c>
      <c r="F36">
        <v>0.074342</v>
      </c>
    </row>
    <row r="37" spans="1:6">
      <c r="A37" t="s">
        <v>106</v>
      </c>
      <c r="B37">
        <v>600</v>
      </c>
      <c r="E37" t="s">
        <v>106</v>
      </c>
      <c r="F37">
        <v>0.065097</v>
      </c>
    </row>
    <row r="38" spans="1:6">
      <c r="A38" t="s">
        <v>36</v>
      </c>
      <c r="B38">
        <v>0.112881</v>
      </c>
      <c r="C38">
        <v>1</v>
      </c>
      <c r="E38" t="s">
        <v>36</v>
      </c>
      <c r="F38">
        <v>0.033493</v>
      </c>
    </row>
    <row r="39" spans="1:6">
      <c r="A39" t="s">
        <v>38</v>
      </c>
      <c r="B39">
        <v>0.16328</v>
      </c>
      <c r="C39">
        <v>1</v>
      </c>
      <c r="E39" t="s">
        <v>38</v>
      </c>
      <c r="F39">
        <v>0.044102</v>
      </c>
    </row>
    <row r="40" spans="1:6">
      <c r="A40" t="s">
        <v>139</v>
      </c>
      <c r="B40">
        <v>600</v>
      </c>
      <c r="E40" t="s">
        <v>139</v>
      </c>
      <c r="F40">
        <v>147.867</v>
      </c>
    </row>
    <row r="41" spans="1:6">
      <c r="A41" t="s">
        <v>39</v>
      </c>
      <c r="B41">
        <v>0.039061</v>
      </c>
      <c r="C41">
        <v>1</v>
      </c>
      <c r="E41" t="s">
        <v>39</v>
      </c>
      <c r="F41">
        <v>0.012753</v>
      </c>
    </row>
    <row r="42" spans="1:6">
      <c r="A42" t="s">
        <v>40</v>
      </c>
      <c r="B42">
        <v>0.022713</v>
      </c>
      <c r="C42">
        <v>1</v>
      </c>
      <c r="E42" t="s">
        <v>40</v>
      </c>
      <c r="F42">
        <v>0.014551</v>
      </c>
    </row>
    <row r="43" spans="1:6">
      <c r="A43" t="s">
        <v>41</v>
      </c>
      <c r="B43">
        <v>0.007968</v>
      </c>
      <c r="C43">
        <v>1</v>
      </c>
      <c r="E43" t="s">
        <v>41</v>
      </c>
      <c r="F43">
        <v>0.008324</v>
      </c>
    </row>
    <row r="44" spans="1:6">
      <c r="A44" t="s">
        <v>148</v>
      </c>
      <c r="B44">
        <v>600</v>
      </c>
      <c r="E44" t="s">
        <v>148</v>
      </c>
      <c r="F44">
        <v>0.457183</v>
      </c>
    </row>
    <row r="45" spans="1:6">
      <c r="A45" t="s">
        <v>42</v>
      </c>
      <c r="B45">
        <v>0.068872</v>
      </c>
      <c r="C45">
        <v>1</v>
      </c>
      <c r="E45" t="s">
        <v>42</v>
      </c>
      <c r="F45">
        <v>0.014568</v>
      </c>
    </row>
    <row r="46" spans="1:6">
      <c r="A46" t="s">
        <v>43</v>
      </c>
      <c r="B46">
        <v>0.020474</v>
      </c>
      <c r="C46">
        <v>1</v>
      </c>
      <c r="E46" t="s">
        <v>43</v>
      </c>
      <c r="F46">
        <v>0.020357</v>
      </c>
    </row>
    <row r="47" spans="1:6">
      <c r="A47" t="s">
        <v>44</v>
      </c>
      <c r="B47">
        <v>0.079443</v>
      </c>
      <c r="C47">
        <v>1</v>
      </c>
      <c r="E47" t="s">
        <v>44</v>
      </c>
      <c r="F47">
        <v>0.014839</v>
      </c>
    </row>
    <row r="48" spans="1:6">
      <c r="A48" t="s">
        <v>121</v>
      </c>
      <c r="B48">
        <v>600</v>
      </c>
      <c r="E48" t="s">
        <v>121</v>
      </c>
      <c r="F48">
        <v>4.2811</v>
      </c>
    </row>
    <row r="49" spans="1:6">
      <c r="A49" t="s">
        <v>45</v>
      </c>
      <c r="B49">
        <v>1.081938</v>
      </c>
      <c r="C49">
        <v>1</v>
      </c>
      <c r="E49" t="s">
        <v>45</v>
      </c>
      <c r="F49">
        <v>0.098367</v>
      </c>
    </row>
    <row r="50" spans="1:6">
      <c r="A50" t="s">
        <v>47</v>
      </c>
      <c r="B50">
        <v>0.02187</v>
      </c>
      <c r="C50">
        <v>1</v>
      </c>
      <c r="E50" t="s">
        <v>47</v>
      </c>
      <c r="F50">
        <v>0.029895</v>
      </c>
    </row>
    <row r="51" spans="1:6">
      <c r="A51" t="s">
        <v>48</v>
      </c>
      <c r="B51">
        <v>1.761741</v>
      </c>
      <c r="C51">
        <v>1</v>
      </c>
      <c r="E51" t="s">
        <v>48</v>
      </c>
      <c r="F51">
        <v>0.050765</v>
      </c>
    </row>
    <row r="52" spans="1:6">
      <c r="A52" t="s">
        <v>152</v>
      </c>
      <c r="B52">
        <v>600</v>
      </c>
      <c r="E52" t="s">
        <v>152</v>
      </c>
      <c r="F52">
        <v>0.501944</v>
      </c>
    </row>
    <row r="53" spans="1:6">
      <c r="A53" t="s">
        <v>49</v>
      </c>
      <c r="B53">
        <v>0.113492</v>
      </c>
      <c r="C53">
        <v>1</v>
      </c>
      <c r="E53" t="s">
        <v>49</v>
      </c>
      <c r="F53">
        <v>0.034691</v>
      </c>
    </row>
    <row r="54" spans="1:6">
      <c r="A54" t="s">
        <v>114</v>
      </c>
      <c r="B54">
        <v>600</v>
      </c>
      <c r="E54" t="s">
        <v>114</v>
      </c>
      <c r="F54">
        <v>0.909138</v>
      </c>
    </row>
    <row r="55" spans="1:6">
      <c r="A55" t="s">
        <v>50</v>
      </c>
      <c r="B55">
        <v>0.010874</v>
      </c>
      <c r="C55">
        <v>1</v>
      </c>
      <c r="E55" t="s">
        <v>50</v>
      </c>
      <c r="F55">
        <v>0.009339</v>
      </c>
    </row>
    <row r="56" spans="1:6">
      <c r="A56" t="s">
        <v>51</v>
      </c>
      <c r="B56">
        <v>0.066082</v>
      </c>
      <c r="C56">
        <v>1</v>
      </c>
      <c r="E56" t="s">
        <v>51</v>
      </c>
      <c r="F56">
        <v>0.019239</v>
      </c>
    </row>
    <row r="57" spans="1:6">
      <c r="A57" t="s">
        <v>52</v>
      </c>
      <c r="B57">
        <v>1.994681</v>
      </c>
      <c r="C57">
        <v>1</v>
      </c>
      <c r="E57" t="s">
        <v>52</v>
      </c>
      <c r="F57">
        <v>0.085262</v>
      </c>
    </row>
    <row r="58" spans="1:6">
      <c r="A58" t="s">
        <v>55</v>
      </c>
      <c r="B58">
        <v>0.019341</v>
      </c>
      <c r="C58">
        <v>1</v>
      </c>
      <c r="E58" t="s">
        <v>55</v>
      </c>
      <c r="F58">
        <v>0.024619</v>
      </c>
    </row>
    <row r="59" spans="1:6">
      <c r="A59" t="s">
        <v>56</v>
      </c>
      <c r="B59">
        <v>0.036966</v>
      </c>
      <c r="C59">
        <v>1</v>
      </c>
      <c r="E59" t="s">
        <v>56</v>
      </c>
      <c r="F59">
        <v>0.023717</v>
      </c>
    </row>
    <row r="60" spans="1:6">
      <c r="A60" t="s">
        <v>57</v>
      </c>
      <c r="B60">
        <v>0.090635</v>
      </c>
      <c r="C60">
        <v>1</v>
      </c>
      <c r="E60" t="s">
        <v>57</v>
      </c>
      <c r="F60">
        <v>0.010843</v>
      </c>
    </row>
    <row r="61" spans="1:6">
      <c r="A61" t="s">
        <v>58</v>
      </c>
      <c r="B61">
        <v>0.020556</v>
      </c>
      <c r="C61">
        <v>1</v>
      </c>
      <c r="E61" t="s">
        <v>58</v>
      </c>
      <c r="F61">
        <v>0.019817</v>
      </c>
    </row>
    <row r="62" spans="1:6">
      <c r="A62" t="s">
        <v>59</v>
      </c>
      <c r="B62">
        <v>600</v>
      </c>
      <c r="C62">
        <v>0</v>
      </c>
      <c r="E62" t="s">
        <v>59</v>
      </c>
      <c r="F62">
        <v>600</v>
      </c>
    </row>
    <row r="63" spans="1:6">
      <c r="A63" t="s">
        <v>60</v>
      </c>
      <c r="B63">
        <v>600</v>
      </c>
      <c r="C63">
        <v>0</v>
      </c>
      <c r="E63" t="s">
        <v>60</v>
      </c>
      <c r="F63">
        <v>11.2819</v>
      </c>
    </row>
    <row r="64" spans="1:6">
      <c r="A64" t="s">
        <v>61</v>
      </c>
      <c r="B64">
        <v>5.72027</v>
      </c>
      <c r="C64">
        <v>1</v>
      </c>
      <c r="E64" t="s">
        <v>61</v>
      </c>
      <c r="F64">
        <v>0.035876</v>
      </c>
    </row>
    <row r="65" spans="1:6">
      <c r="A65" t="s">
        <v>109</v>
      </c>
      <c r="B65">
        <v>600</v>
      </c>
      <c r="E65" t="s">
        <v>109</v>
      </c>
      <c r="F65">
        <v>2.60472</v>
      </c>
    </row>
    <row r="66" spans="1:6">
      <c r="A66" t="s">
        <v>128</v>
      </c>
      <c r="B66">
        <v>600</v>
      </c>
      <c r="E66" t="s">
        <v>128</v>
      </c>
      <c r="F66">
        <v>62.8496</v>
      </c>
    </row>
    <row r="67" spans="1:6">
      <c r="A67" t="s">
        <v>153</v>
      </c>
      <c r="B67">
        <v>600</v>
      </c>
      <c r="E67" t="s">
        <v>153</v>
      </c>
      <c r="F67">
        <v>62.2712</v>
      </c>
    </row>
    <row r="68" spans="1:6">
      <c r="A68" t="s">
        <v>64</v>
      </c>
      <c r="B68">
        <v>1.16268</v>
      </c>
      <c r="C68">
        <v>1</v>
      </c>
      <c r="E68" t="s">
        <v>64</v>
      </c>
      <c r="F68">
        <v>0.023611</v>
      </c>
    </row>
    <row r="69" spans="1:6">
      <c r="A69" t="s">
        <v>99</v>
      </c>
      <c r="B69">
        <v>600</v>
      </c>
      <c r="E69" t="s">
        <v>99</v>
      </c>
      <c r="F69">
        <v>0.139744</v>
      </c>
    </row>
    <row r="70" spans="1:6">
      <c r="A70" t="s">
        <v>83</v>
      </c>
      <c r="B70">
        <v>600</v>
      </c>
      <c r="E70" t="s">
        <v>83</v>
      </c>
      <c r="F70">
        <v>0.865678</v>
      </c>
    </row>
    <row r="71" spans="1:6">
      <c r="A71" t="s">
        <v>144</v>
      </c>
      <c r="B71">
        <v>600</v>
      </c>
      <c r="E71" t="s">
        <v>144</v>
      </c>
      <c r="F71">
        <v>5.67295</v>
      </c>
    </row>
    <row r="72" spans="1:6">
      <c r="A72" t="s">
        <v>155</v>
      </c>
      <c r="B72">
        <v>600</v>
      </c>
      <c r="E72" t="s">
        <v>155</v>
      </c>
      <c r="F72">
        <v>0.4009</v>
      </c>
    </row>
    <row r="73" spans="1:6">
      <c r="A73" t="s">
        <v>67</v>
      </c>
      <c r="B73">
        <v>600</v>
      </c>
      <c r="C73">
        <v>-1</v>
      </c>
      <c r="E73" t="s">
        <v>67</v>
      </c>
      <c r="F73">
        <v>126.075</v>
      </c>
    </row>
    <row r="74" spans="1:6">
      <c r="A74" t="s">
        <v>150</v>
      </c>
      <c r="B74">
        <v>600</v>
      </c>
      <c r="E74" t="s">
        <v>150</v>
      </c>
      <c r="F74">
        <v>0.288531</v>
      </c>
    </row>
    <row r="75" spans="1:6">
      <c r="A75" t="s">
        <v>149</v>
      </c>
      <c r="B75">
        <v>600</v>
      </c>
      <c r="E75" t="s">
        <v>149</v>
      </c>
      <c r="F75">
        <v>0.107097</v>
      </c>
    </row>
    <row r="76" spans="1:6">
      <c r="A76" t="s">
        <v>138</v>
      </c>
      <c r="B76">
        <v>600</v>
      </c>
      <c r="E76" t="s">
        <v>138</v>
      </c>
      <c r="F76">
        <v>0.166033</v>
      </c>
    </row>
    <row r="77" spans="1:6">
      <c r="A77" t="s">
        <v>90</v>
      </c>
      <c r="B77">
        <v>600</v>
      </c>
      <c r="E77" t="s">
        <v>90</v>
      </c>
      <c r="F77">
        <v>0.337748</v>
      </c>
    </row>
    <row r="78" spans="1:6">
      <c r="A78" t="s">
        <v>100</v>
      </c>
      <c r="B78">
        <v>600</v>
      </c>
      <c r="E78" t="s">
        <v>100</v>
      </c>
      <c r="F78">
        <v>7.59224</v>
      </c>
    </row>
    <row r="79" spans="1:6">
      <c r="A79" t="s">
        <v>126</v>
      </c>
      <c r="B79">
        <v>600</v>
      </c>
      <c r="E79" t="s">
        <v>126</v>
      </c>
      <c r="F79">
        <v>1.34722</v>
      </c>
    </row>
    <row r="80" spans="1:6">
      <c r="A80" t="s">
        <v>147</v>
      </c>
      <c r="B80">
        <v>600</v>
      </c>
      <c r="E80" t="s">
        <v>147</v>
      </c>
      <c r="F80">
        <v>0.511139</v>
      </c>
    </row>
  </sheetData>
  <sortState ref="A2:C193">
    <sortCondition ref="A1:A193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opLeftCell="A55" workbookViewId="0">
      <selection activeCell="F73" sqref="F73"/>
    </sheetView>
  </sheetViews>
  <sheetFormatPr defaultColWidth="9" defaultRowHeight="14" outlineLevelCol="5"/>
  <cols>
    <col min="1" max="1" width="25.4545454545455" customWidth="1"/>
    <col min="5" max="5" width="26.3636363636364" customWidth="1"/>
  </cols>
  <sheetData>
    <row r="1" spans="1:6">
      <c r="A1" t="s">
        <v>156</v>
      </c>
      <c r="B1" t="s">
        <v>3</v>
      </c>
      <c r="C1" t="s">
        <v>157</v>
      </c>
    </row>
    <row r="2" spans="1:6">
      <c r="A2" t="s">
        <v>68</v>
      </c>
      <c r="B2">
        <v>600</v>
      </c>
      <c r="C2">
        <v>0</v>
      </c>
      <c r="E2" t="s">
        <v>68</v>
      </c>
      <c r="F2">
        <v>0.690177</v>
      </c>
    </row>
    <row r="3" spans="1:6">
      <c r="A3" t="s">
        <v>117</v>
      </c>
      <c r="B3">
        <v>600</v>
      </c>
      <c r="E3" t="s">
        <v>117</v>
      </c>
      <c r="F3">
        <v>0.077349</v>
      </c>
    </row>
    <row r="4" spans="1:6">
      <c r="A4" t="s">
        <v>142</v>
      </c>
      <c r="B4">
        <v>600</v>
      </c>
      <c r="E4" t="s">
        <v>142</v>
      </c>
      <c r="F4">
        <v>0.167375</v>
      </c>
    </row>
    <row r="5" spans="1:6">
      <c r="A5" t="s">
        <v>8</v>
      </c>
      <c r="B5">
        <v>97.731797</v>
      </c>
      <c r="C5">
        <v>1</v>
      </c>
      <c r="E5" t="s">
        <v>8</v>
      </c>
      <c r="F5">
        <v>0.06594</v>
      </c>
    </row>
    <row r="6" spans="1:6">
      <c r="A6" t="s">
        <v>84</v>
      </c>
      <c r="B6">
        <v>600</v>
      </c>
      <c r="E6" t="s">
        <v>84</v>
      </c>
      <c r="F6">
        <v>3.04219</v>
      </c>
    </row>
    <row r="7" spans="1:6">
      <c r="A7" t="s">
        <v>132</v>
      </c>
      <c r="B7">
        <v>600</v>
      </c>
      <c r="E7" t="s">
        <v>132</v>
      </c>
      <c r="F7">
        <v>600</v>
      </c>
    </row>
    <row r="8" spans="1:6">
      <c r="A8" t="s">
        <v>92</v>
      </c>
      <c r="B8">
        <v>600</v>
      </c>
      <c r="E8" t="s">
        <v>92</v>
      </c>
      <c r="F8">
        <v>1.01106</v>
      </c>
    </row>
    <row r="9" spans="1:6">
      <c r="A9" t="s">
        <v>13</v>
      </c>
      <c r="B9">
        <v>10.209711</v>
      </c>
      <c r="C9">
        <v>1</v>
      </c>
      <c r="E9" t="s">
        <v>13</v>
      </c>
      <c r="F9">
        <v>0.01663</v>
      </c>
    </row>
    <row r="10" spans="1:6">
      <c r="A10" t="s">
        <v>137</v>
      </c>
      <c r="B10">
        <v>600</v>
      </c>
      <c r="E10" t="s">
        <v>137</v>
      </c>
      <c r="F10">
        <v>404.738</v>
      </c>
    </row>
    <row r="11" spans="1:6">
      <c r="A11" t="s">
        <v>15</v>
      </c>
      <c r="B11">
        <v>600</v>
      </c>
      <c r="E11" t="s">
        <v>15</v>
      </c>
      <c r="F11">
        <v>0.199177</v>
      </c>
    </row>
    <row r="12" spans="1:6">
      <c r="A12" t="s">
        <v>119</v>
      </c>
      <c r="B12">
        <v>600</v>
      </c>
      <c r="E12" t="s">
        <v>119</v>
      </c>
      <c r="F12">
        <v>6.3247</v>
      </c>
    </row>
    <row r="13" spans="1:6">
      <c r="A13" t="s">
        <v>143</v>
      </c>
      <c r="B13">
        <v>600</v>
      </c>
      <c r="E13" t="s">
        <v>143</v>
      </c>
      <c r="F13">
        <v>600</v>
      </c>
    </row>
    <row r="14" spans="1:6">
      <c r="A14" t="s">
        <v>141</v>
      </c>
      <c r="B14">
        <v>600</v>
      </c>
      <c r="E14" t="s">
        <v>141</v>
      </c>
      <c r="F14">
        <v>2.21664</v>
      </c>
    </row>
    <row r="15" spans="1:6">
      <c r="A15" t="s">
        <v>140</v>
      </c>
      <c r="B15">
        <v>600</v>
      </c>
      <c r="E15" t="s">
        <v>140</v>
      </c>
      <c r="F15">
        <v>0.055742</v>
      </c>
    </row>
    <row r="16" spans="1:6">
      <c r="A16" t="s">
        <v>130</v>
      </c>
      <c r="B16">
        <v>600</v>
      </c>
      <c r="E16" t="s">
        <v>130</v>
      </c>
      <c r="F16">
        <v>2.65906</v>
      </c>
    </row>
    <row r="17" spans="1:6">
      <c r="A17" t="s">
        <v>72</v>
      </c>
      <c r="B17">
        <v>600</v>
      </c>
      <c r="C17">
        <v>-1</v>
      </c>
      <c r="E17" t="s">
        <v>72</v>
      </c>
      <c r="F17">
        <v>0.330893</v>
      </c>
    </row>
    <row r="18" spans="1:6">
      <c r="A18" t="s">
        <v>17</v>
      </c>
      <c r="B18">
        <v>31.085142</v>
      </c>
      <c r="C18">
        <v>0</v>
      </c>
      <c r="E18" t="s">
        <v>17</v>
      </c>
      <c r="F18">
        <v>104.234</v>
      </c>
    </row>
    <row r="19" spans="1:6">
      <c r="A19" t="s">
        <v>146</v>
      </c>
      <c r="B19">
        <v>600</v>
      </c>
      <c r="E19" t="s">
        <v>146</v>
      </c>
      <c r="F19">
        <v>0.223363</v>
      </c>
    </row>
    <row r="20" spans="1:6">
      <c r="A20" t="s">
        <v>18</v>
      </c>
      <c r="B20">
        <v>600</v>
      </c>
      <c r="C20">
        <v>-1</v>
      </c>
      <c r="E20" t="s">
        <v>18</v>
      </c>
      <c r="F20">
        <v>0.052041</v>
      </c>
    </row>
    <row r="21" spans="1:6">
      <c r="A21" t="s">
        <v>136</v>
      </c>
      <c r="B21">
        <v>600</v>
      </c>
      <c r="E21" t="s">
        <v>136</v>
      </c>
      <c r="F21">
        <v>0.204492</v>
      </c>
    </row>
    <row r="22" spans="1:6">
      <c r="A22" t="s">
        <v>134</v>
      </c>
      <c r="B22">
        <v>600</v>
      </c>
      <c r="E22" t="s">
        <v>134</v>
      </c>
      <c r="F22">
        <v>10.2115</v>
      </c>
    </row>
    <row r="23" spans="1:6">
      <c r="A23" t="s">
        <v>20</v>
      </c>
      <c r="B23">
        <v>600</v>
      </c>
      <c r="C23">
        <v>0</v>
      </c>
      <c r="E23" t="s">
        <v>20</v>
      </c>
      <c r="F23">
        <v>349.11</v>
      </c>
    </row>
    <row r="24" spans="1:6">
      <c r="A24" t="s">
        <v>21</v>
      </c>
      <c r="B24">
        <v>36.542929</v>
      </c>
      <c r="C24">
        <v>1</v>
      </c>
      <c r="E24" t="s">
        <v>21</v>
      </c>
      <c r="F24">
        <v>0.03163</v>
      </c>
    </row>
    <row r="25" spans="1:6">
      <c r="A25" t="s">
        <v>24</v>
      </c>
      <c r="B25">
        <v>0.011119</v>
      </c>
      <c r="C25">
        <v>1</v>
      </c>
      <c r="E25" t="s">
        <v>24</v>
      </c>
      <c r="F25">
        <v>0.067427</v>
      </c>
    </row>
    <row r="26" spans="1:6">
      <c r="A26" t="s">
        <v>25</v>
      </c>
      <c r="B26">
        <v>7.935836</v>
      </c>
      <c r="C26">
        <v>1</v>
      </c>
      <c r="E26" t="s">
        <v>25</v>
      </c>
      <c r="F26">
        <v>0.037981</v>
      </c>
    </row>
    <row r="27" spans="1:6">
      <c r="A27" t="s">
        <v>26</v>
      </c>
      <c r="B27">
        <v>80.897578</v>
      </c>
      <c r="C27">
        <v>1</v>
      </c>
      <c r="E27" t="s">
        <v>26</v>
      </c>
      <c r="F27">
        <v>0.028469</v>
      </c>
    </row>
    <row r="28" spans="1:6">
      <c r="A28" t="s">
        <v>135</v>
      </c>
      <c r="B28">
        <v>600</v>
      </c>
      <c r="E28" t="s">
        <v>135</v>
      </c>
      <c r="F28">
        <v>7.11672</v>
      </c>
    </row>
    <row r="29" spans="1:6">
      <c r="A29" t="s">
        <v>75</v>
      </c>
      <c r="B29">
        <v>600</v>
      </c>
      <c r="C29">
        <v>0</v>
      </c>
      <c r="E29" t="s">
        <v>75</v>
      </c>
      <c r="F29">
        <v>600</v>
      </c>
    </row>
    <row r="30" spans="1:6">
      <c r="A30" t="s">
        <v>103</v>
      </c>
      <c r="B30">
        <v>600</v>
      </c>
      <c r="E30" t="s">
        <v>103</v>
      </c>
      <c r="F30">
        <v>8.45903</v>
      </c>
    </row>
    <row r="31" spans="1:6">
      <c r="A31" t="s">
        <v>154</v>
      </c>
      <c r="B31">
        <v>600</v>
      </c>
      <c r="E31" t="s">
        <v>154</v>
      </c>
      <c r="F31">
        <v>10.5196</v>
      </c>
    </row>
    <row r="32" spans="1:6">
      <c r="A32" t="s">
        <v>145</v>
      </c>
      <c r="B32">
        <v>600</v>
      </c>
      <c r="E32" t="s">
        <v>145</v>
      </c>
      <c r="F32">
        <v>600</v>
      </c>
    </row>
    <row r="33" spans="1:6">
      <c r="A33" t="s">
        <v>133</v>
      </c>
      <c r="B33">
        <v>600</v>
      </c>
      <c r="E33" t="s">
        <v>133</v>
      </c>
      <c r="F33">
        <v>0.239796</v>
      </c>
    </row>
    <row r="34" spans="1:6">
      <c r="A34" t="s">
        <v>151</v>
      </c>
      <c r="B34">
        <v>600</v>
      </c>
      <c r="E34" t="s">
        <v>151</v>
      </c>
      <c r="F34">
        <v>600</v>
      </c>
    </row>
    <row r="35" spans="1:6">
      <c r="A35" t="s">
        <v>30</v>
      </c>
      <c r="B35">
        <v>3.816332</v>
      </c>
      <c r="C35">
        <v>1</v>
      </c>
      <c r="E35" t="s">
        <v>30</v>
      </c>
      <c r="F35">
        <v>0.059348</v>
      </c>
    </row>
    <row r="36" spans="1:6">
      <c r="A36" t="s">
        <v>33</v>
      </c>
      <c r="B36">
        <v>12.264616</v>
      </c>
      <c r="C36">
        <v>1</v>
      </c>
      <c r="E36" t="s">
        <v>33</v>
      </c>
      <c r="F36">
        <v>0.209519</v>
      </c>
    </row>
    <row r="37" spans="1:6">
      <c r="A37" t="s">
        <v>106</v>
      </c>
      <c r="B37">
        <v>600</v>
      </c>
      <c r="E37" t="s">
        <v>106</v>
      </c>
      <c r="F37">
        <v>0.1818</v>
      </c>
    </row>
    <row r="38" spans="1:6">
      <c r="A38" t="s">
        <v>36</v>
      </c>
      <c r="B38">
        <v>0.114157</v>
      </c>
      <c r="C38">
        <v>1</v>
      </c>
      <c r="E38" t="s">
        <v>36</v>
      </c>
      <c r="F38">
        <v>0.028941</v>
      </c>
    </row>
    <row r="39" spans="1:6">
      <c r="A39" t="s">
        <v>38</v>
      </c>
      <c r="B39">
        <v>0.202552</v>
      </c>
      <c r="C39">
        <v>1</v>
      </c>
      <c r="E39" t="s">
        <v>38</v>
      </c>
      <c r="F39">
        <v>0.033066</v>
      </c>
    </row>
    <row r="40" spans="1:6">
      <c r="A40" t="s">
        <v>139</v>
      </c>
      <c r="B40">
        <v>600</v>
      </c>
      <c r="E40" t="s">
        <v>139</v>
      </c>
      <c r="F40">
        <v>34.5524</v>
      </c>
    </row>
    <row r="41" spans="1:6">
      <c r="A41" t="s">
        <v>39</v>
      </c>
      <c r="B41">
        <v>0.036912</v>
      </c>
      <c r="C41">
        <v>1</v>
      </c>
      <c r="E41" t="s">
        <v>39</v>
      </c>
      <c r="F41">
        <v>0.019354</v>
      </c>
    </row>
    <row r="42" spans="1:6">
      <c r="A42" t="s">
        <v>40</v>
      </c>
      <c r="B42">
        <v>0.019708</v>
      </c>
      <c r="C42">
        <v>1</v>
      </c>
      <c r="E42" t="s">
        <v>40</v>
      </c>
      <c r="F42">
        <v>0.014724</v>
      </c>
    </row>
    <row r="43" spans="1:6">
      <c r="A43" t="s">
        <v>41</v>
      </c>
      <c r="B43">
        <v>0.10856</v>
      </c>
      <c r="C43">
        <v>1</v>
      </c>
      <c r="E43" t="s">
        <v>41</v>
      </c>
      <c r="F43">
        <v>0.025999</v>
      </c>
    </row>
    <row r="44" spans="1:6">
      <c r="A44" t="s">
        <v>148</v>
      </c>
      <c r="B44">
        <v>600</v>
      </c>
      <c r="E44" t="s">
        <v>148</v>
      </c>
      <c r="F44">
        <v>600</v>
      </c>
    </row>
    <row r="45" spans="1:6">
      <c r="A45" t="s">
        <v>42</v>
      </c>
      <c r="B45">
        <v>0.042125</v>
      </c>
      <c r="C45">
        <v>1</v>
      </c>
      <c r="E45" t="s">
        <v>42</v>
      </c>
      <c r="F45">
        <v>0.016658</v>
      </c>
    </row>
    <row r="46" spans="1:6">
      <c r="A46" t="s">
        <v>43</v>
      </c>
      <c r="B46">
        <v>0.024501</v>
      </c>
      <c r="C46">
        <v>1</v>
      </c>
      <c r="E46" t="s">
        <v>43</v>
      </c>
      <c r="F46">
        <v>0.019743</v>
      </c>
    </row>
    <row r="47" spans="1:6">
      <c r="A47" t="s">
        <v>44</v>
      </c>
      <c r="B47">
        <v>0.355422</v>
      </c>
      <c r="C47">
        <v>1</v>
      </c>
      <c r="E47" t="s">
        <v>44</v>
      </c>
      <c r="F47">
        <v>0.017859</v>
      </c>
    </row>
    <row r="48" spans="1:6">
      <c r="A48" t="s">
        <v>121</v>
      </c>
      <c r="B48">
        <v>600</v>
      </c>
      <c r="E48" t="s">
        <v>121</v>
      </c>
      <c r="F48">
        <v>13.8136</v>
      </c>
    </row>
    <row r="49" spans="1:6">
      <c r="A49" t="s">
        <v>45</v>
      </c>
      <c r="B49">
        <v>1.222842</v>
      </c>
      <c r="C49">
        <v>1</v>
      </c>
      <c r="E49" t="s">
        <v>45</v>
      </c>
      <c r="F49">
        <v>0.082823</v>
      </c>
    </row>
    <row r="50" spans="1:6">
      <c r="A50" t="s">
        <v>47</v>
      </c>
      <c r="B50">
        <v>0.021523</v>
      </c>
      <c r="C50">
        <v>1</v>
      </c>
      <c r="E50" t="s">
        <v>47</v>
      </c>
      <c r="F50">
        <v>0.014813</v>
      </c>
    </row>
    <row r="51" spans="1:6">
      <c r="A51" t="s">
        <v>48</v>
      </c>
      <c r="B51">
        <v>2.407074</v>
      </c>
      <c r="C51">
        <v>1</v>
      </c>
      <c r="E51" t="s">
        <v>48</v>
      </c>
      <c r="F51">
        <v>0.029051</v>
      </c>
    </row>
    <row r="52" spans="1:6">
      <c r="A52" t="s">
        <v>152</v>
      </c>
      <c r="B52">
        <v>600</v>
      </c>
      <c r="E52" t="s">
        <v>152</v>
      </c>
      <c r="F52">
        <v>2.16637</v>
      </c>
    </row>
    <row r="53" spans="1:6">
      <c r="A53" t="s">
        <v>49</v>
      </c>
      <c r="B53">
        <v>0.110951</v>
      </c>
      <c r="C53">
        <v>1</v>
      </c>
      <c r="E53" t="s">
        <v>49</v>
      </c>
      <c r="F53">
        <v>0.024464</v>
      </c>
    </row>
    <row r="54" spans="1:6">
      <c r="A54" t="s">
        <v>114</v>
      </c>
      <c r="B54">
        <v>600</v>
      </c>
      <c r="E54" t="s">
        <v>114</v>
      </c>
      <c r="F54">
        <v>2.55954</v>
      </c>
    </row>
    <row r="55" spans="1:6">
      <c r="A55" t="s">
        <v>50</v>
      </c>
      <c r="B55">
        <v>0.157469</v>
      </c>
      <c r="C55">
        <v>1</v>
      </c>
      <c r="E55" t="s">
        <v>50</v>
      </c>
      <c r="F55">
        <v>0.016057</v>
      </c>
    </row>
    <row r="56" spans="1:6">
      <c r="A56" t="s">
        <v>51</v>
      </c>
      <c r="B56">
        <v>0.064108</v>
      </c>
      <c r="C56">
        <v>1</v>
      </c>
      <c r="E56" t="s">
        <v>51</v>
      </c>
      <c r="F56">
        <v>0.028651</v>
      </c>
    </row>
    <row r="57" spans="1:6">
      <c r="A57" t="s">
        <v>52</v>
      </c>
      <c r="B57">
        <v>3.509771</v>
      </c>
      <c r="C57">
        <v>1</v>
      </c>
      <c r="E57" t="s">
        <v>52</v>
      </c>
      <c r="F57">
        <v>0.202341</v>
      </c>
    </row>
    <row r="58" spans="1:6">
      <c r="A58" t="s">
        <v>55</v>
      </c>
      <c r="B58">
        <v>0.247647</v>
      </c>
      <c r="C58">
        <v>1</v>
      </c>
      <c r="E58" t="s">
        <v>55</v>
      </c>
      <c r="F58">
        <v>0.032493</v>
      </c>
    </row>
    <row r="59" spans="1:6">
      <c r="A59" t="s">
        <v>56</v>
      </c>
      <c r="B59">
        <v>0.036056</v>
      </c>
      <c r="C59">
        <v>1</v>
      </c>
      <c r="E59" t="s">
        <v>56</v>
      </c>
      <c r="F59">
        <v>0.030515</v>
      </c>
    </row>
    <row r="60" spans="1:6">
      <c r="A60" t="s">
        <v>57</v>
      </c>
      <c r="B60">
        <v>0.087489</v>
      </c>
      <c r="C60">
        <v>1</v>
      </c>
      <c r="E60" t="s">
        <v>57</v>
      </c>
      <c r="F60">
        <v>0.013816</v>
      </c>
    </row>
    <row r="61" spans="1:6">
      <c r="A61" t="s">
        <v>58</v>
      </c>
      <c r="B61">
        <v>0.022041</v>
      </c>
      <c r="C61">
        <v>1</v>
      </c>
      <c r="E61" t="s">
        <v>58</v>
      </c>
      <c r="F61">
        <v>0.02732</v>
      </c>
    </row>
    <row r="62" spans="1:6">
      <c r="A62" t="s">
        <v>59</v>
      </c>
      <c r="B62">
        <v>600</v>
      </c>
      <c r="E62" t="s">
        <v>59</v>
      </c>
      <c r="F62">
        <v>600</v>
      </c>
    </row>
    <row r="63" spans="1:6">
      <c r="A63" t="s">
        <v>60</v>
      </c>
      <c r="B63">
        <v>600</v>
      </c>
      <c r="E63" t="s">
        <v>60</v>
      </c>
      <c r="F63">
        <v>20.5729</v>
      </c>
    </row>
    <row r="64" spans="1:6">
      <c r="A64" t="s">
        <v>61</v>
      </c>
      <c r="B64">
        <v>20.411143</v>
      </c>
      <c r="C64">
        <v>1</v>
      </c>
      <c r="E64" t="s">
        <v>61</v>
      </c>
      <c r="F64">
        <v>0.049832</v>
      </c>
    </row>
    <row r="65" spans="1:6">
      <c r="A65" t="s">
        <v>109</v>
      </c>
      <c r="B65">
        <v>600</v>
      </c>
      <c r="E65" t="s">
        <v>109</v>
      </c>
      <c r="F65">
        <v>5.7921</v>
      </c>
    </row>
    <row r="66" spans="1:6">
      <c r="A66" t="s">
        <v>128</v>
      </c>
      <c r="B66">
        <v>600</v>
      </c>
      <c r="E66" t="s">
        <v>128</v>
      </c>
      <c r="F66">
        <v>139.792</v>
      </c>
    </row>
    <row r="67" spans="1:6">
      <c r="A67" t="s">
        <v>153</v>
      </c>
      <c r="B67">
        <v>600</v>
      </c>
      <c r="E67" t="s">
        <v>153</v>
      </c>
      <c r="F67">
        <v>161.202</v>
      </c>
    </row>
    <row r="68" spans="1:6">
      <c r="A68" t="s">
        <v>64</v>
      </c>
      <c r="B68">
        <v>1.874257</v>
      </c>
      <c r="C68">
        <v>1</v>
      </c>
      <c r="E68" t="s">
        <v>64</v>
      </c>
      <c r="F68">
        <v>0.040681</v>
      </c>
    </row>
    <row r="69" spans="1:6">
      <c r="A69" t="s">
        <v>99</v>
      </c>
      <c r="B69">
        <v>600</v>
      </c>
      <c r="E69" t="s">
        <v>99</v>
      </c>
      <c r="F69">
        <v>0.144886</v>
      </c>
    </row>
    <row r="70" spans="1:6">
      <c r="A70" t="s">
        <v>83</v>
      </c>
      <c r="B70">
        <v>600</v>
      </c>
      <c r="C70">
        <v>0</v>
      </c>
      <c r="E70" t="s">
        <v>83</v>
      </c>
      <c r="F70">
        <v>3.43453</v>
      </c>
    </row>
    <row r="71" spans="1:6">
      <c r="A71" t="s">
        <v>144</v>
      </c>
      <c r="B71">
        <v>600</v>
      </c>
      <c r="E71" t="s">
        <v>144</v>
      </c>
      <c r="F71">
        <v>5.11906</v>
      </c>
    </row>
    <row r="72" spans="1:6">
      <c r="A72" t="s">
        <v>155</v>
      </c>
      <c r="B72">
        <v>600</v>
      </c>
      <c r="E72" t="s">
        <v>155</v>
      </c>
      <c r="F72">
        <v>0.650289</v>
      </c>
    </row>
    <row r="73" spans="1:6">
      <c r="A73" t="s">
        <v>67</v>
      </c>
      <c r="B73">
        <v>600</v>
      </c>
      <c r="C73">
        <v>-1</v>
      </c>
      <c r="E73" t="s">
        <v>67</v>
      </c>
      <c r="F73">
        <v>600</v>
      </c>
    </row>
    <row r="74" spans="1:6">
      <c r="A74" t="s">
        <v>150</v>
      </c>
      <c r="B74">
        <v>600</v>
      </c>
      <c r="E74" t="s">
        <v>150</v>
      </c>
      <c r="F74">
        <v>0.355835</v>
      </c>
    </row>
    <row r="75" spans="1:6">
      <c r="A75" t="s">
        <v>149</v>
      </c>
      <c r="B75">
        <v>600</v>
      </c>
      <c r="E75" t="s">
        <v>149</v>
      </c>
      <c r="F75">
        <v>0.247152</v>
      </c>
    </row>
    <row r="76" spans="1:6">
      <c r="A76" t="s">
        <v>138</v>
      </c>
      <c r="B76">
        <v>600</v>
      </c>
      <c r="E76" t="s">
        <v>138</v>
      </c>
      <c r="F76">
        <v>1.6246</v>
      </c>
    </row>
    <row r="77" spans="1:6">
      <c r="A77" t="s">
        <v>90</v>
      </c>
      <c r="B77">
        <v>600</v>
      </c>
      <c r="E77" t="s">
        <v>90</v>
      </c>
      <c r="F77">
        <v>0.303975</v>
      </c>
    </row>
    <row r="78" spans="1:6">
      <c r="A78" t="s">
        <v>100</v>
      </c>
      <c r="B78">
        <v>600</v>
      </c>
      <c r="E78" t="s">
        <v>100</v>
      </c>
      <c r="F78">
        <v>7.7959</v>
      </c>
    </row>
    <row r="79" spans="1:6">
      <c r="A79" t="s">
        <v>126</v>
      </c>
      <c r="B79">
        <v>600</v>
      </c>
      <c r="E79" t="s">
        <v>126</v>
      </c>
      <c r="F79">
        <v>3.2728</v>
      </c>
    </row>
    <row r="80" spans="1:6">
      <c r="A80" t="s">
        <v>147</v>
      </c>
      <c r="B80">
        <v>600</v>
      </c>
      <c r="E80" t="s">
        <v>147</v>
      </c>
      <c r="F80">
        <v>0.330883</v>
      </c>
    </row>
  </sheetData>
  <sortState ref="A2:C80">
    <sortCondition ref="A1:A8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opLeftCell="A55" workbookViewId="0">
      <selection activeCell="I83" sqref="I83"/>
    </sheetView>
  </sheetViews>
  <sheetFormatPr defaultColWidth="9" defaultRowHeight="14" outlineLevelCol="5"/>
  <cols>
    <col min="1" max="1" width="25.4545454545455" customWidth="1"/>
    <col min="2" max="2" width="11.3636363636364" customWidth="1"/>
    <col min="3" max="3" width="5.27272727272727" customWidth="1"/>
    <col min="4" max="4" width="8.09090909090909" customWidth="1"/>
    <col min="5" max="5" width="26.3636363636364" customWidth="1"/>
  </cols>
  <sheetData>
    <row r="1" spans="1:6">
      <c r="A1" t="s">
        <v>156</v>
      </c>
      <c r="B1" t="s">
        <v>3</v>
      </c>
      <c r="C1" t="s">
        <v>157</v>
      </c>
    </row>
    <row r="2" spans="1:6">
      <c r="A2" t="s">
        <v>68</v>
      </c>
      <c r="B2">
        <v>600</v>
      </c>
      <c r="C2">
        <v>0</v>
      </c>
      <c r="E2" t="s">
        <v>68</v>
      </c>
      <c r="F2">
        <v>0.538339</v>
      </c>
    </row>
    <row r="3" spans="1:6">
      <c r="A3" t="s">
        <v>117</v>
      </c>
      <c r="B3">
        <v>600</v>
      </c>
      <c r="E3" t="s">
        <v>117</v>
      </c>
      <c r="F3">
        <v>0.162534</v>
      </c>
    </row>
    <row r="4" spans="1:6">
      <c r="A4" t="s">
        <v>142</v>
      </c>
      <c r="B4">
        <v>600</v>
      </c>
      <c r="E4" t="s">
        <v>142</v>
      </c>
      <c r="F4">
        <v>0.471551</v>
      </c>
    </row>
    <row r="5" spans="1:6">
      <c r="A5" t="s">
        <v>8</v>
      </c>
      <c r="B5">
        <v>600</v>
      </c>
      <c r="E5" t="s">
        <v>8</v>
      </c>
      <c r="F5">
        <v>0.068235</v>
      </c>
    </row>
    <row r="6" spans="1:6">
      <c r="A6" t="s">
        <v>84</v>
      </c>
      <c r="B6">
        <v>600</v>
      </c>
      <c r="C6">
        <v>0</v>
      </c>
      <c r="E6" t="s">
        <v>84</v>
      </c>
      <c r="F6">
        <v>600</v>
      </c>
    </row>
    <row r="7" spans="1:6">
      <c r="A7" t="s">
        <v>132</v>
      </c>
      <c r="B7">
        <v>600</v>
      </c>
      <c r="E7" t="s">
        <v>132</v>
      </c>
      <c r="F7">
        <v>19.2945</v>
      </c>
    </row>
    <row r="8" spans="1:6">
      <c r="A8" t="s">
        <v>92</v>
      </c>
      <c r="B8">
        <v>600</v>
      </c>
      <c r="E8" t="s">
        <v>92</v>
      </c>
      <c r="F8">
        <v>2.95184</v>
      </c>
    </row>
    <row r="9" spans="1:6">
      <c r="A9" t="s">
        <v>13</v>
      </c>
      <c r="B9">
        <v>11.99786</v>
      </c>
      <c r="C9">
        <v>1</v>
      </c>
      <c r="E9" t="s">
        <v>13</v>
      </c>
      <c r="F9">
        <v>0.023254</v>
      </c>
    </row>
    <row r="10" spans="1:6">
      <c r="A10" t="s">
        <v>137</v>
      </c>
      <c r="B10">
        <v>600</v>
      </c>
      <c r="E10" t="s">
        <v>137</v>
      </c>
      <c r="F10">
        <v>600</v>
      </c>
    </row>
    <row r="11" spans="1:6">
      <c r="A11" t="s">
        <v>15</v>
      </c>
      <c r="B11">
        <v>600</v>
      </c>
      <c r="C11">
        <v>0</v>
      </c>
      <c r="E11" t="s">
        <v>15</v>
      </c>
      <c r="F11">
        <v>0.159802</v>
      </c>
    </row>
    <row r="12" spans="1:6">
      <c r="A12" t="s">
        <v>119</v>
      </c>
      <c r="B12">
        <v>600</v>
      </c>
      <c r="E12" t="s">
        <v>119</v>
      </c>
      <c r="F12">
        <v>5.23199</v>
      </c>
    </row>
    <row r="13" spans="1:6">
      <c r="A13" t="s">
        <v>143</v>
      </c>
      <c r="B13">
        <v>600</v>
      </c>
      <c r="E13" t="s">
        <v>143</v>
      </c>
      <c r="F13">
        <v>600</v>
      </c>
    </row>
    <row r="14" spans="1:6">
      <c r="A14" t="s">
        <v>141</v>
      </c>
      <c r="B14">
        <v>600</v>
      </c>
      <c r="E14" t="s">
        <v>141</v>
      </c>
      <c r="F14">
        <v>1.09067</v>
      </c>
    </row>
    <row r="15" spans="1:6">
      <c r="A15" t="s">
        <v>140</v>
      </c>
      <c r="B15">
        <v>600</v>
      </c>
      <c r="E15" t="s">
        <v>140</v>
      </c>
      <c r="F15">
        <v>0.110929</v>
      </c>
    </row>
    <row r="16" spans="1:6">
      <c r="A16" t="s">
        <v>130</v>
      </c>
      <c r="B16">
        <v>600</v>
      </c>
      <c r="E16" t="s">
        <v>130</v>
      </c>
      <c r="F16">
        <v>3.91947</v>
      </c>
    </row>
    <row r="17" spans="1:6">
      <c r="A17" t="s">
        <v>72</v>
      </c>
      <c r="B17">
        <v>600</v>
      </c>
      <c r="C17">
        <v>-1</v>
      </c>
      <c r="E17" t="s">
        <v>72</v>
      </c>
      <c r="F17">
        <v>0.477958</v>
      </c>
    </row>
    <row r="18" spans="1:6">
      <c r="A18" t="s">
        <v>17</v>
      </c>
      <c r="B18">
        <v>600</v>
      </c>
      <c r="E18" t="s">
        <v>17</v>
      </c>
      <c r="F18">
        <v>190.641</v>
      </c>
    </row>
    <row r="19" spans="1:6">
      <c r="A19" t="s">
        <v>146</v>
      </c>
      <c r="B19">
        <v>600</v>
      </c>
      <c r="E19" t="s">
        <v>146</v>
      </c>
      <c r="F19">
        <v>0.151344</v>
      </c>
    </row>
    <row r="20" spans="1:6">
      <c r="A20" t="s">
        <v>18</v>
      </c>
      <c r="B20">
        <v>600</v>
      </c>
      <c r="C20">
        <v>-1</v>
      </c>
      <c r="E20" t="s">
        <v>18</v>
      </c>
      <c r="F20">
        <v>0.237475</v>
      </c>
    </row>
    <row r="21" spans="1:6">
      <c r="A21" t="s">
        <v>136</v>
      </c>
      <c r="B21">
        <v>600</v>
      </c>
      <c r="E21" t="s">
        <v>136</v>
      </c>
      <c r="F21">
        <v>0.270756</v>
      </c>
    </row>
    <row r="22" spans="1:6">
      <c r="A22" t="s">
        <v>134</v>
      </c>
      <c r="B22">
        <v>600</v>
      </c>
      <c r="E22" t="s">
        <v>134</v>
      </c>
      <c r="F22">
        <v>600</v>
      </c>
    </row>
    <row r="23" spans="1:6">
      <c r="A23" t="s">
        <v>20</v>
      </c>
      <c r="B23">
        <v>600</v>
      </c>
      <c r="C23">
        <v>0</v>
      </c>
      <c r="E23" t="s">
        <v>20</v>
      </c>
      <c r="F23">
        <v>338.811</v>
      </c>
    </row>
    <row r="24" spans="1:6">
      <c r="A24" t="s">
        <v>21</v>
      </c>
      <c r="B24">
        <v>8.957707</v>
      </c>
      <c r="C24">
        <v>1</v>
      </c>
      <c r="E24" t="s">
        <v>21</v>
      </c>
      <c r="F24">
        <v>0.033331</v>
      </c>
    </row>
    <row r="25" spans="1:6">
      <c r="A25" t="s">
        <v>24</v>
      </c>
      <c r="B25">
        <v>0.011276</v>
      </c>
      <c r="C25">
        <v>1</v>
      </c>
      <c r="E25" t="s">
        <v>24</v>
      </c>
      <c r="F25">
        <v>0.062369</v>
      </c>
    </row>
    <row r="26" spans="1:6">
      <c r="A26" t="s">
        <v>25</v>
      </c>
      <c r="B26">
        <v>8.989588</v>
      </c>
      <c r="C26">
        <v>1</v>
      </c>
      <c r="E26" t="s">
        <v>25</v>
      </c>
      <c r="F26">
        <v>0.030538</v>
      </c>
    </row>
    <row r="27" spans="1:6">
      <c r="A27" t="s">
        <v>26</v>
      </c>
      <c r="B27">
        <v>92.199737</v>
      </c>
      <c r="C27">
        <v>1</v>
      </c>
      <c r="E27" t="s">
        <v>26</v>
      </c>
      <c r="F27">
        <v>0.03211</v>
      </c>
    </row>
    <row r="28" spans="1:6">
      <c r="A28" t="s">
        <v>135</v>
      </c>
      <c r="B28">
        <v>600</v>
      </c>
      <c r="E28" t="s">
        <v>135</v>
      </c>
      <c r="F28">
        <v>102.249</v>
      </c>
    </row>
    <row r="29" spans="1:6">
      <c r="A29" t="s">
        <v>75</v>
      </c>
      <c r="B29">
        <v>600</v>
      </c>
      <c r="E29" t="s">
        <v>75</v>
      </c>
      <c r="F29">
        <v>600</v>
      </c>
    </row>
    <row r="30" spans="1:6">
      <c r="A30" t="s">
        <v>103</v>
      </c>
      <c r="B30">
        <v>600</v>
      </c>
      <c r="E30" t="s">
        <v>103</v>
      </c>
      <c r="F30">
        <v>600</v>
      </c>
    </row>
    <row r="31" spans="1:6">
      <c r="A31" t="s">
        <v>154</v>
      </c>
      <c r="B31">
        <v>600</v>
      </c>
      <c r="E31" t="s">
        <v>154</v>
      </c>
      <c r="F31">
        <v>3.58812</v>
      </c>
    </row>
    <row r="32" spans="1:6">
      <c r="A32" t="s">
        <v>145</v>
      </c>
      <c r="B32">
        <v>600</v>
      </c>
      <c r="E32" t="s">
        <v>145</v>
      </c>
      <c r="F32">
        <v>472.446</v>
      </c>
    </row>
    <row r="33" spans="1:6">
      <c r="A33" t="s">
        <v>133</v>
      </c>
      <c r="B33">
        <v>600</v>
      </c>
      <c r="E33" t="s">
        <v>133</v>
      </c>
      <c r="F33">
        <v>0.497648</v>
      </c>
    </row>
    <row r="34" spans="1:6">
      <c r="A34" t="s">
        <v>151</v>
      </c>
      <c r="B34">
        <v>600</v>
      </c>
      <c r="E34" t="s">
        <v>151</v>
      </c>
      <c r="F34">
        <v>600</v>
      </c>
    </row>
    <row r="35" spans="1:6">
      <c r="A35" t="s">
        <v>30</v>
      </c>
      <c r="B35">
        <v>1.920534</v>
      </c>
      <c r="C35">
        <v>1</v>
      </c>
      <c r="E35" t="s">
        <v>30</v>
      </c>
      <c r="F35">
        <v>0.088391</v>
      </c>
    </row>
    <row r="36" spans="1:6">
      <c r="A36" t="s">
        <v>33</v>
      </c>
      <c r="B36">
        <v>6.583587</v>
      </c>
      <c r="C36">
        <v>1</v>
      </c>
      <c r="E36" t="s">
        <v>33</v>
      </c>
      <c r="F36">
        <v>0.087136</v>
      </c>
    </row>
    <row r="37" spans="1:6">
      <c r="A37" t="s">
        <v>106</v>
      </c>
      <c r="B37">
        <v>600</v>
      </c>
      <c r="E37" t="s">
        <v>106</v>
      </c>
      <c r="F37">
        <v>0.224072</v>
      </c>
    </row>
    <row r="38" spans="1:6">
      <c r="A38" t="s">
        <v>36</v>
      </c>
      <c r="B38">
        <v>0.145365</v>
      </c>
      <c r="C38">
        <v>1</v>
      </c>
      <c r="E38" t="s">
        <v>36</v>
      </c>
      <c r="F38">
        <v>0.026312</v>
      </c>
    </row>
    <row r="39" spans="1:6">
      <c r="A39" t="s">
        <v>38</v>
      </c>
      <c r="B39">
        <v>0.22875</v>
      </c>
      <c r="C39">
        <v>1</v>
      </c>
      <c r="E39" t="s">
        <v>38</v>
      </c>
      <c r="F39">
        <v>0.047939</v>
      </c>
    </row>
    <row r="40" spans="1:6">
      <c r="A40" t="s">
        <v>139</v>
      </c>
      <c r="B40">
        <v>600</v>
      </c>
      <c r="E40" t="s">
        <v>139</v>
      </c>
      <c r="F40">
        <v>294.02</v>
      </c>
    </row>
    <row r="41" spans="1:6">
      <c r="A41" t="s">
        <v>39</v>
      </c>
      <c r="B41">
        <v>0.03938</v>
      </c>
      <c r="C41">
        <v>1</v>
      </c>
      <c r="E41" t="s">
        <v>39</v>
      </c>
      <c r="F41">
        <v>0.012316</v>
      </c>
    </row>
    <row r="42" spans="1:6">
      <c r="A42" t="s">
        <v>40</v>
      </c>
      <c r="B42">
        <v>0.021619</v>
      </c>
      <c r="C42">
        <v>1</v>
      </c>
      <c r="E42" t="s">
        <v>40</v>
      </c>
      <c r="F42">
        <v>0.01354</v>
      </c>
    </row>
    <row r="43" spans="1:6">
      <c r="A43" t="s">
        <v>41</v>
      </c>
      <c r="B43">
        <v>0.109071</v>
      </c>
      <c r="C43">
        <v>1</v>
      </c>
      <c r="E43" t="s">
        <v>41</v>
      </c>
      <c r="F43">
        <v>0.03092</v>
      </c>
    </row>
    <row r="44" spans="1:6">
      <c r="A44" t="s">
        <v>148</v>
      </c>
      <c r="B44">
        <v>600</v>
      </c>
      <c r="E44" t="s">
        <v>148</v>
      </c>
      <c r="F44">
        <v>600</v>
      </c>
    </row>
    <row r="45" spans="1:6">
      <c r="A45" t="s">
        <v>42</v>
      </c>
      <c r="B45">
        <v>0.041704</v>
      </c>
      <c r="C45">
        <v>1</v>
      </c>
      <c r="E45" t="s">
        <v>42</v>
      </c>
      <c r="F45">
        <v>0.028718</v>
      </c>
    </row>
    <row r="46" spans="1:6">
      <c r="A46" t="s">
        <v>43</v>
      </c>
      <c r="B46">
        <v>0.020361</v>
      </c>
      <c r="C46">
        <v>1</v>
      </c>
      <c r="E46" t="s">
        <v>43</v>
      </c>
      <c r="F46">
        <v>0.022606</v>
      </c>
    </row>
    <row r="47" spans="1:6">
      <c r="A47" t="s">
        <v>44</v>
      </c>
      <c r="B47">
        <v>0.397269</v>
      </c>
      <c r="C47">
        <v>1</v>
      </c>
      <c r="E47" t="s">
        <v>44</v>
      </c>
      <c r="F47">
        <v>0.018928</v>
      </c>
    </row>
    <row r="48" spans="1:6">
      <c r="A48" t="s">
        <v>121</v>
      </c>
      <c r="B48">
        <v>600</v>
      </c>
      <c r="E48" t="s">
        <v>121</v>
      </c>
      <c r="F48">
        <v>600</v>
      </c>
    </row>
    <row r="49" spans="1:6">
      <c r="A49" t="s">
        <v>45</v>
      </c>
      <c r="B49">
        <v>1.213508</v>
      </c>
      <c r="C49">
        <v>1</v>
      </c>
      <c r="E49" t="s">
        <v>45</v>
      </c>
      <c r="F49">
        <v>0.111263</v>
      </c>
    </row>
    <row r="50" spans="1:6">
      <c r="A50" t="s">
        <v>47</v>
      </c>
      <c r="B50">
        <v>0.018673</v>
      </c>
      <c r="C50">
        <v>1</v>
      </c>
      <c r="E50" t="s">
        <v>47</v>
      </c>
      <c r="F50">
        <v>0.012461</v>
      </c>
    </row>
    <row r="51" spans="1:6">
      <c r="A51" t="s">
        <v>48</v>
      </c>
      <c r="B51">
        <v>2.834161</v>
      </c>
      <c r="C51">
        <v>1</v>
      </c>
      <c r="E51" t="s">
        <v>48</v>
      </c>
      <c r="F51">
        <v>0.028443</v>
      </c>
    </row>
    <row r="52" spans="1:6">
      <c r="A52" t="s">
        <v>152</v>
      </c>
      <c r="B52">
        <v>600</v>
      </c>
      <c r="E52" t="s">
        <v>152</v>
      </c>
      <c r="F52">
        <v>420.188</v>
      </c>
    </row>
    <row r="53" spans="1:6">
      <c r="A53" t="s">
        <v>49</v>
      </c>
      <c r="B53">
        <v>0.074219</v>
      </c>
      <c r="C53">
        <v>1</v>
      </c>
      <c r="E53" t="s">
        <v>49</v>
      </c>
      <c r="F53">
        <v>0.054057</v>
      </c>
    </row>
    <row r="54" spans="1:6">
      <c r="A54" t="s">
        <v>114</v>
      </c>
      <c r="B54">
        <v>600</v>
      </c>
      <c r="E54" t="s">
        <v>114</v>
      </c>
      <c r="F54">
        <v>600</v>
      </c>
    </row>
    <row r="55" spans="1:6">
      <c r="A55" t="s">
        <v>50</v>
      </c>
      <c r="B55">
        <v>0.160866</v>
      </c>
      <c r="C55">
        <v>1</v>
      </c>
      <c r="E55" t="s">
        <v>50</v>
      </c>
      <c r="F55">
        <v>0.015279</v>
      </c>
    </row>
    <row r="56" spans="1:6">
      <c r="A56" t="s">
        <v>51</v>
      </c>
      <c r="B56">
        <v>0.061083</v>
      </c>
      <c r="C56">
        <v>1</v>
      </c>
      <c r="E56" t="s">
        <v>51</v>
      </c>
      <c r="F56">
        <v>0.030802</v>
      </c>
    </row>
    <row r="57" spans="1:6">
      <c r="A57" t="s">
        <v>52</v>
      </c>
      <c r="B57">
        <v>5.308609</v>
      </c>
      <c r="C57">
        <v>1</v>
      </c>
      <c r="E57" t="s">
        <v>52</v>
      </c>
      <c r="F57">
        <v>0.089307</v>
      </c>
    </row>
    <row r="58" spans="1:6">
      <c r="A58" t="s">
        <v>55</v>
      </c>
      <c r="B58">
        <v>0.202808</v>
      </c>
      <c r="C58">
        <v>1</v>
      </c>
      <c r="E58" t="s">
        <v>55</v>
      </c>
      <c r="F58">
        <v>0.041032</v>
      </c>
    </row>
    <row r="59" spans="1:6">
      <c r="A59" t="s">
        <v>56</v>
      </c>
      <c r="B59">
        <v>0.040894</v>
      </c>
      <c r="C59">
        <v>1</v>
      </c>
      <c r="E59" t="s">
        <v>56</v>
      </c>
      <c r="F59">
        <v>0.021256</v>
      </c>
    </row>
    <row r="60" spans="1:6">
      <c r="A60" t="s">
        <v>57</v>
      </c>
      <c r="B60">
        <v>0.088065</v>
      </c>
      <c r="C60">
        <v>1</v>
      </c>
      <c r="E60" t="s">
        <v>57</v>
      </c>
      <c r="F60">
        <v>0.01243</v>
      </c>
    </row>
    <row r="61" spans="1:6">
      <c r="A61" t="s">
        <v>58</v>
      </c>
      <c r="B61">
        <v>0.018214</v>
      </c>
      <c r="C61">
        <v>1</v>
      </c>
      <c r="E61" t="s">
        <v>58</v>
      </c>
      <c r="F61">
        <v>0.018389</v>
      </c>
    </row>
    <row r="62" spans="1:6">
      <c r="A62" t="s">
        <v>59</v>
      </c>
      <c r="B62">
        <v>600</v>
      </c>
      <c r="E62" t="s">
        <v>59</v>
      </c>
      <c r="F62">
        <v>600</v>
      </c>
    </row>
    <row r="63" spans="1:6">
      <c r="A63" t="s">
        <v>60</v>
      </c>
      <c r="B63">
        <v>600</v>
      </c>
      <c r="E63" t="s">
        <v>60</v>
      </c>
      <c r="F63">
        <v>600</v>
      </c>
    </row>
    <row r="64" spans="1:6">
      <c r="A64" t="s">
        <v>61</v>
      </c>
      <c r="B64">
        <v>22.891811</v>
      </c>
      <c r="C64">
        <v>1</v>
      </c>
      <c r="E64" t="s">
        <v>61</v>
      </c>
      <c r="F64">
        <v>0.078265</v>
      </c>
    </row>
    <row r="65" spans="1:6">
      <c r="A65" t="s">
        <v>109</v>
      </c>
      <c r="B65">
        <v>600</v>
      </c>
      <c r="E65" t="s">
        <v>109</v>
      </c>
      <c r="F65">
        <v>11.0729</v>
      </c>
    </row>
    <row r="66" spans="1:6">
      <c r="A66" t="s">
        <v>128</v>
      </c>
      <c r="B66">
        <v>600</v>
      </c>
      <c r="E66" t="s">
        <v>128</v>
      </c>
      <c r="F66">
        <v>128.269</v>
      </c>
    </row>
    <row r="67" spans="1:6">
      <c r="A67" t="s">
        <v>153</v>
      </c>
      <c r="B67">
        <v>600</v>
      </c>
      <c r="E67" t="s">
        <v>153</v>
      </c>
      <c r="F67">
        <v>600</v>
      </c>
    </row>
    <row r="68" spans="1:6">
      <c r="A68" t="s">
        <v>64</v>
      </c>
      <c r="B68">
        <v>1.804263</v>
      </c>
      <c r="C68">
        <v>1</v>
      </c>
      <c r="E68" t="s">
        <v>64</v>
      </c>
      <c r="F68">
        <v>0.072737</v>
      </c>
    </row>
    <row r="69" spans="1:6">
      <c r="A69" t="s">
        <v>99</v>
      </c>
      <c r="B69">
        <v>600</v>
      </c>
      <c r="E69" t="s">
        <v>99</v>
      </c>
      <c r="F69">
        <v>0.180943</v>
      </c>
    </row>
    <row r="70" spans="1:6">
      <c r="A70" t="s">
        <v>83</v>
      </c>
      <c r="B70">
        <v>600</v>
      </c>
      <c r="C70">
        <v>-1</v>
      </c>
      <c r="E70" t="s">
        <v>83</v>
      </c>
      <c r="F70">
        <v>519.254</v>
      </c>
    </row>
    <row r="71" spans="1:6">
      <c r="A71" t="s">
        <v>144</v>
      </c>
      <c r="B71">
        <v>600</v>
      </c>
      <c r="E71" t="s">
        <v>144</v>
      </c>
      <c r="F71">
        <v>600</v>
      </c>
    </row>
    <row r="72" spans="1:6">
      <c r="A72" t="s">
        <v>155</v>
      </c>
      <c r="B72">
        <v>600</v>
      </c>
      <c r="E72" t="s">
        <v>155</v>
      </c>
      <c r="F72">
        <v>1.06678</v>
      </c>
    </row>
    <row r="73" spans="1:6">
      <c r="A73" t="s">
        <v>67</v>
      </c>
      <c r="B73">
        <v>600</v>
      </c>
      <c r="C73">
        <v>-1</v>
      </c>
      <c r="E73" t="s">
        <v>67</v>
      </c>
      <c r="F73">
        <v>600</v>
      </c>
    </row>
    <row r="74" spans="1:6">
      <c r="A74" t="s">
        <v>150</v>
      </c>
      <c r="B74">
        <v>600</v>
      </c>
      <c r="E74" t="s">
        <v>150</v>
      </c>
      <c r="F74">
        <v>0.938208</v>
      </c>
    </row>
    <row r="75" spans="1:6">
      <c r="A75" t="s">
        <v>149</v>
      </c>
      <c r="B75">
        <v>600</v>
      </c>
      <c r="E75" t="s">
        <v>149</v>
      </c>
      <c r="F75">
        <v>0.328595</v>
      </c>
    </row>
    <row r="76" spans="1:6">
      <c r="A76" t="s">
        <v>138</v>
      </c>
      <c r="B76">
        <v>600</v>
      </c>
      <c r="E76" t="s">
        <v>138</v>
      </c>
      <c r="F76">
        <v>11.7864</v>
      </c>
    </row>
    <row r="77" spans="1:6">
      <c r="A77" t="s">
        <v>90</v>
      </c>
      <c r="B77">
        <v>600</v>
      </c>
      <c r="C77">
        <v>0</v>
      </c>
      <c r="E77" t="s">
        <v>90</v>
      </c>
      <c r="F77">
        <v>2.99214</v>
      </c>
    </row>
    <row r="78" spans="1:6">
      <c r="A78" t="s">
        <v>100</v>
      </c>
      <c r="B78">
        <v>600</v>
      </c>
      <c r="E78" t="s">
        <v>100</v>
      </c>
      <c r="F78">
        <v>9.53042</v>
      </c>
    </row>
    <row r="79" spans="1:6">
      <c r="A79" t="s">
        <v>126</v>
      </c>
      <c r="B79">
        <v>600</v>
      </c>
      <c r="E79" t="s">
        <v>126</v>
      </c>
      <c r="F79">
        <v>10.0489</v>
      </c>
    </row>
    <row r="80" spans="1:6">
      <c r="A80" t="s">
        <v>147</v>
      </c>
      <c r="B80">
        <v>600</v>
      </c>
      <c r="E80" t="s">
        <v>147</v>
      </c>
      <c r="F80">
        <v>10.1322</v>
      </c>
    </row>
  </sheetData>
  <sortState ref="A2:C80">
    <sortCondition ref="A1:A8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workbookViewId="0">
      <selection activeCell="G80" sqref="G80"/>
    </sheetView>
  </sheetViews>
  <sheetFormatPr defaultColWidth="9" defaultRowHeight="14" outlineLevelCol="5"/>
  <cols>
    <col min="1" max="1" width="25.4545454545455" customWidth="1"/>
    <col min="2" max="2" width="11.3636363636364" customWidth="1"/>
    <col min="3" max="3" width="5.27272727272727" customWidth="1"/>
    <col min="5" max="5" width="26.3636363636364" customWidth="1"/>
  </cols>
  <sheetData>
    <row r="1" spans="1:6">
      <c r="A1" t="s">
        <v>156</v>
      </c>
      <c r="B1" t="s">
        <v>3</v>
      </c>
      <c r="C1" t="s">
        <v>157</v>
      </c>
    </row>
    <row r="2" spans="1:6">
      <c r="A2" t="s">
        <v>68</v>
      </c>
      <c r="B2">
        <v>600</v>
      </c>
      <c r="C2">
        <v>0</v>
      </c>
      <c r="E2" t="s">
        <v>68</v>
      </c>
      <c r="F2">
        <v>0.583867</v>
      </c>
    </row>
    <row r="3" spans="1:6">
      <c r="A3" t="s">
        <v>117</v>
      </c>
      <c r="B3">
        <v>600</v>
      </c>
      <c r="E3" t="s">
        <v>117</v>
      </c>
      <c r="F3">
        <v>0.206501</v>
      </c>
    </row>
    <row r="4" spans="1:6">
      <c r="A4" t="s">
        <v>142</v>
      </c>
      <c r="B4">
        <v>600</v>
      </c>
      <c r="E4" t="s">
        <v>142</v>
      </c>
      <c r="F4">
        <v>0.558754</v>
      </c>
    </row>
    <row r="5" spans="1:6">
      <c r="A5" t="s">
        <v>8</v>
      </c>
      <c r="B5">
        <v>184.564858</v>
      </c>
      <c r="C5">
        <v>1</v>
      </c>
      <c r="E5" t="s">
        <v>8</v>
      </c>
      <c r="F5">
        <v>0.085505</v>
      </c>
    </row>
    <row r="6" spans="1:6">
      <c r="A6" t="s">
        <v>84</v>
      </c>
      <c r="B6">
        <v>600</v>
      </c>
      <c r="C6">
        <v>0</v>
      </c>
      <c r="E6" t="s">
        <v>84</v>
      </c>
      <c r="F6">
        <v>7.0531</v>
      </c>
    </row>
    <row r="7" spans="1:6">
      <c r="A7" t="s">
        <v>132</v>
      </c>
      <c r="B7">
        <v>600</v>
      </c>
      <c r="E7" t="s">
        <v>132</v>
      </c>
      <c r="F7">
        <v>600</v>
      </c>
    </row>
    <row r="8" spans="1:6">
      <c r="A8" t="s">
        <v>92</v>
      </c>
      <c r="B8">
        <v>600</v>
      </c>
      <c r="C8">
        <v>0</v>
      </c>
      <c r="E8" t="s">
        <v>92</v>
      </c>
      <c r="F8">
        <v>3.12974</v>
      </c>
    </row>
    <row r="9" spans="1:6">
      <c r="A9" t="s">
        <v>13</v>
      </c>
      <c r="B9">
        <v>14.386088</v>
      </c>
      <c r="C9">
        <v>1</v>
      </c>
      <c r="E9" t="s">
        <v>13</v>
      </c>
      <c r="F9">
        <v>0.021667</v>
      </c>
    </row>
    <row r="10" spans="1:6">
      <c r="A10" t="s">
        <v>137</v>
      </c>
      <c r="B10">
        <v>600</v>
      </c>
      <c r="E10" t="s">
        <v>137</v>
      </c>
      <c r="F10">
        <v>20.5613</v>
      </c>
    </row>
    <row r="11" spans="1:6">
      <c r="A11" t="s">
        <v>15</v>
      </c>
      <c r="B11">
        <v>600</v>
      </c>
      <c r="E11" t="s">
        <v>15</v>
      </c>
      <c r="F11">
        <v>0.177167</v>
      </c>
    </row>
    <row r="12" spans="1:6">
      <c r="A12" t="s">
        <v>119</v>
      </c>
      <c r="B12">
        <v>600</v>
      </c>
      <c r="E12" t="s">
        <v>119</v>
      </c>
      <c r="F12">
        <v>1.82497</v>
      </c>
    </row>
    <row r="13" spans="1:6">
      <c r="A13" t="s">
        <v>143</v>
      </c>
      <c r="B13">
        <v>600</v>
      </c>
      <c r="E13" t="s">
        <v>143</v>
      </c>
      <c r="F13">
        <v>600</v>
      </c>
    </row>
    <row r="14" spans="1:6">
      <c r="A14" t="s">
        <v>141</v>
      </c>
      <c r="B14">
        <v>600</v>
      </c>
      <c r="E14" t="s">
        <v>141</v>
      </c>
      <c r="F14">
        <v>1.65933</v>
      </c>
    </row>
    <row r="15" spans="1:6">
      <c r="A15" t="s">
        <v>140</v>
      </c>
      <c r="B15">
        <v>600</v>
      </c>
      <c r="E15" t="s">
        <v>140</v>
      </c>
      <c r="F15">
        <v>0.122149</v>
      </c>
    </row>
    <row r="16" spans="1:6">
      <c r="A16" t="s">
        <v>130</v>
      </c>
      <c r="B16">
        <v>600</v>
      </c>
      <c r="E16" t="s">
        <v>130</v>
      </c>
      <c r="F16">
        <v>13.5524</v>
      </c>
    </row>
    <row r="17" spans="1:6">
      <c r="A17" t="s">
        <v>72</v>
      </c>
      <c r="B17">
        <v>600</v>
      </c>
      <c r="C17">
        <v>-1</v>
      </c>
      <c r="E17" t="s">
        <v>72</v>
      </c>
      <c r="F17">
        <v>0.49453</v>
      </c>
    </row>
    <row r="18" spans="1:6">
      <c r="A18" t="s">
        <v>17</v>
      </c>
      <c r="B18">
        <v>600</v>
      </c>
      <c r="E18" t="s">
        <v>17</v>
      </c>
      <c r="F18">
        <v>600</v>
      </c>
    </row>
    <row r="19" spans="1:6">
      <c r="A19" t="s">
        <v>146</v>
      </c>
      <c r="B19">
        <v>600</v>
      </c>
      <c r="E19" t="s">
        <v>146</v>
      </c>
      <c r="F19">
        <v>0.753999</v>
      </c>
    </row>
    <row r="20" spans="1:6">
      <c r="A20" t="s">
        <v>18</v>
      </c>
      <c r="B20">
        <v>600</v>
      </c>
      <c r="C20">
        <v>-1</v>
      </c>
      <c r="E20" t="s">
        <v>18</v>
      </c>
      <c r="F20">
        <v>0.252969</v>
      </c>
    </row>
    <row r="21" spans="1:6">
      <c r="A21" t="s">
        <v>136</v>
      </c>
      <c r="B21">
        <v>600</v>
      </c>
      <c r="E21" t="s">
        <v>136</v>
      </c>
      <c r="F21">
        <v>0.380087</v>
      </c>
    </row>
    <row r="22" spans="1:6">
      <c r="A22" t="s">
        <v>134</v>
      </c>
      <c r="B22">
        <v>600</v>
      </c>
      <c r="E22" t="s">
        <v>134</v>
      </c>
      <c r="F22">
        <v>600</v>
      </c>
    </row>
    <row r="23" spans="1:6">
      <c r="A23" t="s">
        <v>20</v>
      </c>
      <c r="B23">
        <v>600</v>
      </c>
      <c r="C23">
        <v>0</v>
      </c>
      <c r="E23" t="s">
        <v>20</v>
      </c>
      <c r="F23">
        <v>600</v>
      </c>
    </row>
    <row r="24" spans="1:6">
      <c r="A24" t="s">
        <v>21</v>
      </c>
      <c r="B24">
        <v>6.223346</v>
      </c>
      <c r="C24">
        <v>1</v>
      </c>
      <c r="E24" t="s">
        <v>21</v>
      </c>
      <c r="F24">
        <v>0.034368</v>
      </c>
    </row>
    <row r="25" spans="1:6">
      <c r="A25" t="s">
        <v>24</v>
      </c>
      <c r="B25">
        <v>0.008148</v>
      </c>
      <c r="C25">
        <v>1</v>
      </c>
      <c r="E25" t="s">
        <v>24</v>
      </c>
      <c r="F25">
        <v>0.067534</v>
      </c>
    </row>
    <row r="26" spans="1:6">
      <c r="A26" t="s">
        <v>25</v>
      </c>
      <c r="B26">
        <v>9.977519</v>
      </c>
      <c r="C26">
        <v>1</v>
      </c>
      <c r="E26" t="s">
        <v>25</v>
      </c>
      <c r="F26">
        <v>0.034031</v>
      </c>
    </row>
    <row r="27" spans="1:6">
      <c r="A27" t="s">
        <v>26</v>
      </c>
      <c r="B27">
        <v>104.864186</v>
      </c>
      <c r="C27">
        <v>1</v>
      </c>
      <c r="E27" t="s">
        <v>26</v>
      </c>
      <c r="F27">
        <v>0.026137</v>
      </c>
    </row>
    <row r="28" spans="1:6">
      <c r="A28" t="s">
        <v>135</v>
      </c>
      <c r="B28">
        <v>600</v>
      </c>
      <c r="E28" t="s">
        <v>135</v>
      </c>
      <c r="F28">
        <v>600</v>
      </c>
    </row>
    <row r="29" spans="1:6">
      <c r="A29" t="s">
        <v>75</v>
      </c>
      <c r="B29">
        <v>600</v>
      </c>
      <c r="C29">
        <v>0</v>
      </c>
      <c r="E29" t="s">
        <v>75</v>
      </c>
      <c r="F29">
        <v>600</v>
      </c>
    </row>
    <row r="30" spans="1:6">
      <c r="A30" t="s">
        <v>103</v>
      </c>
      <c r="B30">
        <v>600</v>
      </c>
      <c r="E30" t="s">
        <v>103</v>
      </c>
      <c r="F30">
        <v>600</v>
      </c>
    </row>
    <row r="31" spans="1:6">
      <c r="A31" t="s">
        <v>154</v>
      </c>
      <c r="B31">
        <v>600</v>
      </c>
      <c r="E31" t="s">
        <v>154</v>
      </c>
      <c r="F31">
        <v>600</v>
      </c>
    </row>
    <row r="32" spans="1:6">
      <c r="A32" t="s">
        <v>145</v>
      </c>
      <c r="B32">
        <v>600</v>
      </c>
      <c r="E32" t="s">
        <v>145</v>
      </c>
      <c r="F32">
        <v>600</v>
      </c>
    </row>
    <row r="33" spans="1:6">
      <c r="A33" t="s">
        <v>133</v>
      </c>
      <c r="B33">
        <v>600</v>
      </c>
      <c r="E33" t="s">
        <v>133</v>
      </c>
      <c r="F33">
        <v>0.604646</v>
      </c>
    </row>
    <row r="34" spans="1:6">
      <c r="A34" t="s">
        <v>151</v>
      </c>
      <c r="B34">
        <v>600</v>
      </c>
      <c r="E34" t="s">
        <v>151</v>
      </c>
      <c r="F34">
        <v>600</v>
      </c>
    </row>
    <row r="35" spans="1:6">
      <c r="A35" t="s">
        <v>30</v>
      </c>
      <c r="B35">
        <v>2.883501</v>
      </c>
      <c r="C35">
        <v>1</v>
      </c>
      <c r="E35" t="s">
        <v>30</v>
      </c>
      <c r="F35">
        <v>0.154586</v>
      </c>
    </row>
    <row r="36" spans="1:6">
      <c r="A36" t="s">
        <v>33</v>
      </c>
      <c r="B36">
        <v>6.488544</v>
      </c>
      <c r="C36">
        <v>1</v>
      </c>
      <c r="E36" t="s">
        <v>33</v>
      </c>
      <c r="F36">
        <v>0.117903</v>
      </c>
    </row>
    <row r="37" spans="1:6">
      <c r="A37" t="s">
        <v>106</v>
      </c>
      <c r="B37">
        <v>600</v>
      </c>
      <c r="E37" t="s">
        <v>106</v>
      </c>
      <c r="F37">
        <v>4.00851</v>
      </c>
    </row>
    <row r="38" spans="1:6">
      <c r="A38" t="s">
        <v>36</v>
      </c>
      <c r="B38">
        <v>0.854059</v>
      </c>
      <c r="C38">
        <v>1</v>
      </c>
      <c r="E38" t="s">
        <v>36</v>
      </c>
      <c r="F38">
        <v>0.031315</v>
      </c>
    </row>
    <row r="39" spans="1:6">
      <c r="A39" t="s">
        <v>38</v>
      </c>
      <c r="B39">
        <v>0.223854</v>
      </c>
      <c r="C39">
        <v>1</v>
      </c>
      <c r="E39" t="s">
        <v>38</v>
      </c>
      <c r="F39">
        <v>0.038299</v>
      </c>
    </row>
    <row r="40" spans="1:6">
      <c r="A40" t="s">
        <v>139</v>
      </c>
      <c r="B40">
        <v>600</v>
      </c>
      <c r="E40" t="s">
        <v>139</v>
      </c>
      <c r="F40">
        <v>600</v>
      </c>
    </row>
    <row r="41" spans="1:6">
      <c r="A41" t="s">
        <v>39</v>
      </c>
      <c r="B41">
        <v>0.039835</v>
      </c>
      <c r="C41">
        <v>1</v>
      </c>
      <c r="E41" t="s">
        <v>39</v>
      </c>
      <c r="F41">
        <v>0.01281</v>
      </c>
    </row>
    <row r="42" spans="1:6">
      <c r="A42" t="s">
        <v>40</v>
      </c>
      <c r="B42">
        <v>0.02424</v>
      </c>
      <c r="C42">
        <v>1</v>
      </c>
      <c r="E42" t="s">
        <v>40</v>
      </c>
      <c r="F42">
        <v>0.018065</v>
      </c>
    </row>
    <row r="43" spans="1:6">
      <c r="A43" t="s">
        <v>41</v>
      </c>
      <c r="B43">
        <v>0.109685</v>
      </c>
      <c r="C43">
        <v>1</v>
      </c>
      <c r="E43" t="s">
        <v>41</v>
      </c>
      <c r="F43">
        <v>0.021976</v>
      </c>
    </row>
    <row r="44" spans="1:6">
      <c r="A44" t="s">
        <v>148</v>
      </c>
      <c r="B44">
        <v>600</v>
      </c>
      <c r="E44" t="s">
        <v>148</v>
      </c>
      <c r="F44">
        <v>427.655</v>
      </c>
    </row>
    <row r="45" spans="1:6">
      <c r="A45" t="s">
        <v>42</v>
      </c>
      <c r="B45">
        <v>0.189444</v>
      </c>
      <c r="C45">
        <v>1</v>
      </c>
      <c r="E45" t="s">
        <v>42</v>
      </c>
      <c r="F45">
        <v>0.021036</v>
      </c>
    </row>
    <row r="46" spans="1:6">
      <c r="A46" t="s">
        <v>43</v>
      </c>
      <c r="B46">
        <v>0.020106</v>
      </c>
      <c r="C46">
        <v>1</v>
      </c>
      <c r="E46" t="s">
        <v>43</v>
      </c>
      <c r="F46">
        <v>0.023985</v>
      </c>
    </row>
    <row r="47" spans="1:6">
      <c r="A47" t="s">
        <v>44</v>
      </c>
      <c r="B47">
        <v>0.383386</v>
      </c>
      <c r="C47">
        <v>1</v>
      </c>
      <c r="E47" t="s">
        <v>44</v>
      </c>
      <c r="F47">
        <v>0.021586</v>
      </c>
    </row>
    <row r="48" spans="1:6">
      <c r="A48" t="s">
        <v>121</v>
      </c>
      <c r="B48">
        <v>600</v>
      </c>
      <c r="E48" t="s">
        <v>121</v>
      </c>
      <c r="F48">
        <v>600</v>
      </c>
    </row>
    <row r="49" spans="1:6">
      <c r="A49" t="s">
        <v>45</v>
      </c>
      <c r="B49">
        <v>0.869146</v>
      </c>
      <c r="C49">
        <v>1</v>
      </c>
      <c r="E49" t="s">
        <v>45</v>
      </c>
      <c r="F49">
        <v>0.080298</v>
      </c>
    </row>
    <row r="50" spans="1:6">
      <c r="A50" t="s">
        <v>47</v>
      </c>
      <c r="B50">
        <v>0.018878</v>
      </c>
      <c r="C50">
        <v>1</v>
      </c>
      <c r="E50" t="s">
        <v>47</v>
      </c>
      <c r="F50">
        <v>0.02576</v>
      </c>
    </row>
    <row r="51" spans="1:6">
      <c r="A51" t="s">
        <v>48</v>
      </c>
      <c r="B51">
        <v>2.916685</v>
      </c>
      <c r="C51">
        <v>1</v>
      </c>
      <c r="E51" t="s">
        <v>48</v>
      </c>
      <c r="F51">
        <v>0.041779</v>
      </c>
    </row>
    <row r="52" spans="1:6">
      <c r="A52" t="s">
        <v>152</v>
      </c>
      <c r="B52">
        <v>600</v>
      </c>
      <c r="E52" t="s">
        <v>152</v>
      </c>
      <c r="F52">
        <v>373.38</v>
      </c>
    </row>
    <row r="53" spans="1:6">
      <c r="A53" t="s">
        <v>49</v>
      </c>
      <c r="B53">
        <v>0.076766</v>
      </c>
      <c r="C53">
        <v>1</v>
      </c>
      <c r="E53" t="s">
        <v>49</v>
      </c>
      <c r="F53">
        <v>0.028168</v>
      </c>
    </row>
    <row r="54" spans="1:6">
      <c r="A54" t="s">
        <v>114</v>
      </c>
      <c r="B54">
        <v>600</v>
      </c>
      <c r="E54" t="s">
        <v>114</v>
      </c>
      <c r="F54">
        <v>600</v>
      </c>
    </row>
    <row r="55" spans="1:6">
      <c r="A55" t="s">
        <v>50</v>
      </c>
      <c r="B55">
        <v>0.158362</v>
      </c>
      <c r="C55">
        <v>1</v>
      </c>
      <c r="E55" t="s">
        <v>50</v>
      </c>
      <c r="F55">
        <v>0.017164</v>
      </c>
    </row>
    <row r="56" spans="1:6">
      <c r="A56" t="s">
        <v>51</v>
      </c>
      <c r="B56">
        <v>0.058863</v>
      </c>
      <c r="C56">
        <v>1</v>
      </c>
      <c r="E56" t="s">
        <v>51</v>
      </c>
      <c r="F56">
        <v>0.030077</v>
      </c>
    </row>
    <row r="57" spans="1:6">
      <c r="A57" t="s">
        <v>52</v>
      </c>
      <c r="B57">
        <v>3.236625</v>
      </c>
      <c r="C57">
        <v>1</v>
      </c>
      <c r="E57" t="s">
        <v>52</v>
      </c>
      <c r="F57">
        <v>0.24889</v>
      </c>
    </row>
    <row r="58" spans="1:6">
      <c r="A58" t="s">
        <v>55</v>
      </c>
      <c r="B58">
        <v>0.201317</v>
      </c>
      <c r="C58">
        <v>1</v>
      </c>
      <c r="E58" t="s">
        <v>55</v>
      </c>
      <c r="F58">
        <v>0.039716</v>
      </c>
    </row>
    <row r="59" spans="1:6">
      <c r="A59" t="s">
        <v>56</v>
      </c>
      <c r="B59">
        <v>0.037629</v>
      </c>
      <c r="C59">
        <v>1</v>
      </c>
      <c r="E59" t="s">
        <v>56</v>
      </c>
      <c r="F59">
        <v>0.027058</v>
      </c>
    </row>
    <row r="60" spans="1:6">
      <c r="A60" t="s">
        <v>57</v>
      </c>
      <c r="B60">
        <v>0.089194</v>
      </c>
      <c r="C60">
        <v>1</v>
      </c>
      <c r="E60" t="s">
        <v>57</v>
      </c>
      <c r="F60">
        <v>0.015232</v>
      </c>
    </row>
    <row r="61" spans="1:6">
      <c r="A61" t="s">
        <v>58</v>
      </c>
      <c r="B61">
        <v>0.021297</v>
      </c>
      <c r="C61">
        <v>1</v>
      </c>
      <c r="E61" t="s">
        <v>58</v>
      </c>
      <c r="F61">
        <v>0.021894</v>
      </c>
    </row>
    <row r="62" spans="1:6">
      <c r="A62" t="s">
        <v>59</v>
      </c>
      <c r="B62">
        <v>600</v>
      </c>
      <c r="E62" t="s">
        <v>59</v>
      </c>
      <c r="F62">
        <v>600</v>
      </c>
    </row>
    <row r="63" spans="1:6">
      <c r="A63" t="s">
        <v>60</v>
      </c>
      <c r="B63">
        <v>600</v>
      </c>
      <c r="E63" t="s">
        <v>60</v>
      </c>
      <c r="F63">
        <v>600</v>
      </c>
    </row>
    <row r="64" spans="1:6">
      <c r="A64" t="s">
        <v>61</v>
      </c>
      <c r="B64">
        <v>17.513802</v>
      </c>
      <c r="C64">
        <v>1</v>
      </c>
      <c r="E64" t="s">
        <v>61</v>
      </c>
      <c r="F64">
        <v>0.131841</v>
      </c>
    </row>
    <row r="65" spans="1:6">
      <c r="A65" t="s">
        <v>109</v>
      </c>
      <c r="B65">
        <v>600</v>
      </c>
      <c r="E65" t="s">
        <v>109</v>
      </c>
      <c r="F65">
        <v>52.8378</v>
      </c>
    </row>
    <row r="66" spans="1:6">
      <c r="A66" t="s">
        <v>128</v>
      </c>
      <c r="B66">
        <v>600</v>
      </c>
      <c r="E66" t="s">
        <v>128</v>
      </c>
      <c r="F66">
        <v>600</v>
      </c>
    </row>
    <row r="67" spans="1:6">
      <c r="A67" t="s">
        <v>153</v>
      </c>
      <c r="B67">
        <v>600</v>
      </c>
      <c r="E67" t="s">
        <v>153</v>
      </c>
      <c r="F67">
        <v>262.755</v>
      </c>
    </row>
    <row r="68" spans="1:6">
      <c r="A68" t="s">
        <v>64</v>
      </c>
      <c r="B68">
        <v>1.367537</v>
      </c>
      <c r="C68">
        <v>1</v>
      </c>
      <c r="E68" t="s">
        <v>64</v>
      </c>
      <c r="F68">
        <v>0.050748</v>
      </c>
    </row>
    <row r="69" spans="1:6">
      <c r="A69" t="s">
        <v>99</v>
      </c>
      <c r="B69">
        <v>600</v>
      </c>
      <c r="C69">
        <v>0</v>
      </c>
      <c r="E69" t="s">
        <v>99</v>
      </c>
      <c r="F69">
        <v>0.337558</v>
      </c>
    </row>
    <row r="70" spans="1:6">
      <c r="A70" t="s">
        <v>83</v>
      </c>
      <c r="B70">
        <v>600</v>
      </c>
      <c r="C70">
        <v>-1</v>
      </c>
      <c r="E70" t="s">
        <v>83</v>
      </c>
      <c r="F70">
        <v>101.743</v>
      </c>
    </row>
    <row r="71" spans="1:6">
      <c r="A71" t="s">
        <v>144</v>
      </c>
      <c r="B71">
        <v>600</v>
      </c>
      <c r="E71" t="s">
        <v>144</v>
      </c>
      <c r="F71">
        <v>113.029</v>
      </c>
    </row>
    <row r="72" spans="1:6">
      <c r="A72" t="s">
        <v>155</v>
      </c>
      <c r="B72">
        <v>600</v>
      </c>
      <c r="E72" t="s">
        <v>155</v>
      </c>
      <c r="F72">
        <v>220.645</v>
      </c>
    </row>
    <row r="73" spans="1:6">
      <c r="A73" t="s">
        <v>67</v>
      </c>
      <c r="B73">
        <v>600</v>
      </c>
      <c r="E73" t="s">
        <v>67</v>
      </c>
      <c r="F73">
        <v>600</v>
      </c>
    </row>
    <row r="74" spans="1:6">
      <c r="A74" t="s">
        <v>150</v>
      </c>
      <c r="B74">
        <v>600</v>
      </c>
      <c r="E74" t="s">
        <v>150</v>
      </c>
      <c r="F74">
        <v>2.05127</v>
      </c>
    </row>
    <row r="75" spans="1:6">
      <c r="A75" t="s">
        <v>149</v>
      </c>
      <c r="B75">
        <v>600</v>
      </c>
      <c r="E75" t="s">
        <v>149</v>
      </c>
      <c r="F75">
        <v>0.322529</v>
      </c>
    </row>
    <row r="76" spans="1:6">
      <c r="A76" t="s">
        <v>138</v>
      </c>
      <c r="B76">
        <v>600</v>
      </c>
      <c r="E76" t="s">
        <v>138</v>
      </c>
      <c r="F76">
        <v>5.48891</v>
      </c>
    </row>
    <row r="77" spans="1:6">
      <c r="A77" t="s">
        <v>90</v>
      </c>
      <c r="B77">
        <v>600</v>
      </c>
      <c r="C77">
        <v>0</v>
      </c>
      <c r="E77" t="s">
        <v>90</v>
      </c>
      <c r="F77">
        <v>1.68265</v>
      </c>
    </row>
    <row r="78" spans="1:6">
      <c r="A78" t="s">
        <v>100</v>
      </c>
      <c r="B78">
        <v>600</v>
      </c>
      <c r="C78">
        <v>0</v>
      </c>
      <c r="E78" t="s">
        <v>100</v>
      </c>
      <c r="F78">
        <v>15.099</v>
      </c>
    </row>
    <row r="79" spans="1:6">
      <c r="A79" t="s">
        <v>126</v>
      </c>
      <c r="B79">
        <v>600</v>
      </c>
      <c r="E79" t="s">
        <v>126</v>
      </c>
      <c r="F79">
        <v>58.4902</v>
      </c>
    </row>
    <row r="80" spans="1:6">
      <c r="A80" t="s">
        <v>147</v>
      </c>
      <c r="B80">
        <v>600</v>
      </c>
      <c r="E80" t="s">
        <v>147</v>
      </c>
      <c r="F80">
        <v>3.45513</v>
      </c>
    </row>
  </sheetData>
  <sortState ref="A2:C80">
    <sortCondition ref="A15:A8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topLeftCell="A46" workbookViewId="0">
      <selection activeCell="F1" sqref="F$1:F$1048576"/>
    </sheetView>
  </sheetViews>
  <sheetFormatPr defaultColWidth="9" defaultRowHeight="14" outlineLevelCol="5"/>
  <cols>
    <col min="1" max="1" width="25.4545454545455" customWidth="1"/>
    <col min="2" max="2" width="11.3636363636364" customWidth="1"/>
    <col min="3" max="3" width="5.27272727272727" customWidth="1"/>
    <col min="5" max="5" width="26.3636363636364" customWidth="1"/>
  </cols>
  <sheetData>
    <row r="1" spans="1:6">
      <c r="A1" t="s">
        <v>156</v>
      </c>
      <c r="B1" t="s">
        <v>3</v>
      </c>
      <c r="C1" t="s">
        <v>157</v>
      </c>
    </row>
    <row r="2" spans="1:6">
      <c r="A2" t="s">
        <v>68</v>
      </c>
      <c r="B2">
        <v>600</v>
      </c>
      <c r="C2">
        <v>0</v>
      </c>
      <c r="E2" t="s">
        <v>68</v>
      </c>
      <c r="F2">
        <v>0.984142</v>
      </c>
    </row>
    <row r="3" spans="1:6">
      <c r="A3" t="s">
        <v>117</v>
      </c>
      <c r="B3">
        <v>600</v>
      </c>
      <c r="E3" t="s">
        <v>117</v>
      </c>
      <c r="F3">
        <v>0.361225</v>
      </c>
    </row>
    <row r="4" spans="1:6">
      <c r="A4" t="s">
        <v>142</v>
      </c>
      <c r="B4">
        <v>600</v>
      </c>
      <c r="E4" t="s">
        <v>142</v>
      </c>
      <c r="F4">
        <v>0.408668</v>
      </c>
    </row>
    <row r="5" spans="1:6">
      <c r="A5" t="s">
        <v>8</v>
      </c>
      <c r="B5">
        <v>600</v>
      </c>
      <c r="E5" t="s">
        <v>8</v>
      </c>
      <c r="F5">
        <v>0.163079</v>
      </c>
    </row>
    <row r="6" spans="1:6">
      <c r="A6" t="s">
        <v>84</v>
      </c>
      <c r="B6">
        <v>600</v>
      </c>
      <c r="C6">
        <v>-1</v>
      </c>
      <c r="E6" t="s">
        <v>84</v>
      </c>
      <c r="F6">
        <v>12.5027</v>
      </c>
    </row>
    <row r="7" spans="1:6">
      <c r="A7" t="s">
        <v>132</v>
      </c>
      <c r="B7">
        <v>600</v>
      </c>
      <c r="E7" t="s">
        <v>132</v>
      </c>
      <c r="F7">
        <v>198.101</v>
      </c>
    </row>
    <row r="8" spans="1:6">
      <c r="A8" t="s">
        <v>92</v>
      </c>
      <c r="B8">
        <v>600</v>
      </c>
      <c r="C8">
        <v>0</v>
      </c>
      <c r="E8" t="s">
        <v>92</v>
      </c>
      <c r="F8">
        <v>0.904205</v>
      </c>
    </row>
    <row r="9" spans="1:6">
      <c r="A9" t="s">
        <v>13</v>
      </c>
      <c r="B9">
        <v>15.672828</v>
      </c>
      <c r="C9">
        <v>1</v>
      </c>
      <c r="E9" t="s">
        <v>13</v>
      </c>
      <c r="F9">
        <v>0.017607</v>
      </c>
    </row>
    <row r="10" spans="1:6">
      <c r="A10" t="s">
        <v>137</v>
      </c>
      <c r="B10">
        <v>600</v>
      </c>
      <c r="E10" t="s">
        <v>137</v>
      </c>
      <c r="F10">
        <v>268.1</v>
      </c>
    </row>
    <row r="11" spans="1:6">
      <c r="A11" t="s">
        <v>15</v>
      </c>
      <c r="B11">
        <v>600</v>
      </c>
      <c r="E11" t="s">
        <v>15</v>
      </c>
      <c r="F11">
        <v>0.138894</v>
      </c>
    </row>
    <row r="12" spans="1:6">
      <c r="A12" t="s">
        <v>119</v>
      </c>
      <c r="B12">
        <v>600</v>
      </c>
      <c r="E12" t="s">
        <v>119</v>
      </c>
      <c r="F12">
        <v>15.7337</v>
      </c>
    </row>
    <row r="13" spans="1:6">
      <c r="A13" t="s">
        <v>143</v>
      </c>
      <c r="B13">
        <v>600</v>
      </c>
      <c r="E13" t="s">
        <v>143</v>
      </c>
      <c r="F13">
        <v>600</v>
      </c>
    </row>
    <row r="14" spans="1:6">
      <c r="A14" t="s">
        <v>141</v>
      </c>
      <c r="B14">
        <v>600</v>
      </c>
      <c r="E14" t="s">
        <v>141</v>
      </c>
      <c r="F14">
        <v>2.01064</v>
      </c>
    </row>
    <row r="15" spans="1:6">
      <c r="A15" t="s">
        <v>140</v>
      </c>
      <c r="B15">
        <v>600</v>
      </c>
      <c r="E15" t="s">
        <v>140</v>
      </c>
      <c r="F15">
        <v>0.116056</v>
      </c>
    </row>
    <row r="16" spans="1:6">
      <c r="A16" t="s">
        <v>130</v>
      </c>
      <c r="B16">
        <v>600</v>
      </c>
      <c r="E16" t="s">
        <v>130</v>
      </c>
      <c r="F16">
        <v>8.57121</v>
      </c>
    </row>
    <row r="17" spans="1:6">
      <c r="A17" t="s">
        <v>72</v>
      </c>
      <c r="B17">
        <v>600</v>
      </c>
      <c r="C17">
        <v>-1</v>
      </c>
      <c r="E17" t="s">
        <v>72</v>
      </c>
      <c r="F17">
        <v>0.538463</v>
      </c>
    </row>
    <row r="18" spans="1:6">
      <c r="A18" t="s">
        <v>17</v>
      </c>
      <c r="B18">
        <v>600</v>
      </c>
      <c r="E18" t="s">
        <v>17</v>
      </c>
      <c r="F18">
        <v>600</v>
      </c>
    </row>
    <row r="19" spans="1:6">
      <c r="A19" t="s">
        <v>146</v>
      </c>
      <c r="B19">
        <v>600</v>
      </c>
      <c r="E19" t="s">
        <v>146</v>
      </c>
      <c r="F19">
        <v>0.58402</v>
      </c>
    </row>
    <row r="20" spans="1:6">
      <c r="A20" t="s">
        <v>18</v>
      </c>
      <c r="B20">
        <v>600</v>
      </c>
      <c r="C20">
        <v>-1</v>
      </c>
      <c r="E20" t="s">
        <v>18</v>
      </c>
      <c r="F20">
        <v>0.242467</v>
      </c>
    </row>
    <row r="21" spans="1:6">
      <c r="A21" t="s">
        <v>136</v>
      </c>
      <c r="B21">
        <v>600</v>
      </c>
      <c r="E21" t="s">
        <v>136</v>
      </c>
      <c r="F21">
        <v>0.449585</v>
      </c>
    </row>
    <row r="22" spans="1:6">
      <c r="A22" t="s">
        <v>134</v>
      </c>
      <c r="B22">
        <v>600</v>
      </c>
      <c r="E22" t="s">
        <v>134</v>
      </c>
      <c r="F22">
        <v>600</v>
      </c>
    </row>
    <row r="23" spans="1:6">
      <c r="A23" t="s">
        <v>20</v>
      </c>
      <c r="B23">
        <v>600</v>
      </c>
      <c r="C23">
        <v>0</v>
      </c>
      <c r="E23" t="s">
        <v>20</v>
      </c>
      <c r="F23">
        <v>600</v>
      </c>
    </row>
    <row r="24" spans="1:6">
      <c r="A24" t="s">
        <v>21</v>
      </c>
      <c r="B24">
        <v>600</v>
      </c>
      <c r="E24" t="s">
        <v>21</v>
      </c>
      <c r="F24">
        <v>0.117981</v>
      </c>
    </row>
    <row r="25" spans="1:6">
      <c r="A25" t="s">
        <v>24</v>
      </c>
      <c r="B25">
        <v>0.007411</v>
      </c>
      <c r="C25">
        <v>1</v>
      </c>
      <c r="E25" t="s">
        <v>24</v>
      </c>
      <c r="F25">
        <v>0.066767</v>
      </c>
    </row>
    <row r="26" spans="1:6">
      <c r="A26" t="s">
        <v>25</v>
      </c>
      <c r="B26">
        <v>11.375027</v>
      </c>
      <c r="C26">
        <v>1</v>
      </c>
      <c r="E26" t="s">
        <v>25</v>
      </c>
      <c r="F26">
        <v>0.034527</v>
      </c>
    </row>
    <row r="27" spans="1:6">
      <c r="A27" t="s">
        <v>26</v>
      </c>
      <c r="B27">
        <v>100.684664</v>
      </c>
      <c r="C27">
        <v>1</v>
      </c>
      <c r="E27" t="s">
        <v>26</v>
      </c>
      <c r="F27">
        <v>0.034142</v>
      </c>
    </row>
    <row r="28" spans="1:6">
      <c r="A28" t="s">
        <v>135</v>
      </c>
      <c r="B28">
        <v>600</v>
      </c>
      <c r="E28" t="s">
        <v>135</v>
      </c>
      <c r="F28">
        <v>600</v>
      </c>
    </row>
    <row r="29" spans="1:6">
      <c r="A29" t="s">
        <v>75</v>
      </c>
      <c r="B29">
        <v>600</v>
      </c>
      <c r="C29">
        <v>0</v>
      </c>
      <c r="E29" t="s">
        <v>75</v>
      </c>
      <c r="F29">
        <v>600</v>
      </c>
    </row>
    <row r="30" spans="1:6">
      <c r="A30" t="s">
        <v>103</v>
      </c>
      <c r="B30">
        <v>600</v>
      </c>
      <c r="C30">
        <v>0</v>
      </c>
      <c r="E30" t="s">
        <v>103</v>
      </c>
      <c r="F30">
        <v>255.953</v>
      </c>
    </row>
    <row r="31" spans="1:6">
      <c r="A31" t="s">
        <v>154</v>
      </c>
      <c r="B31">
        <v>600</v>
      </c>
      <c r="E31" t="s">
        <v>154</v>
      </c>
      <c r="F31">
        <v>600</v>
      </c>
    </row>
    <row r="32" spans="1:6">
      <c r="A32" t="s">
        <v>145</v>
      </c>
      <c r="B32">
        <v>600</v>
      </c>
      <c r="E32" t="s">
        <v>145</v>
      </c>
      <c r="F32">
        <v>600</v>
      </c>
    </row>
    <row r="33" spans="1:6">
      <c r="A33" t="s">
        <v>133</v>
      </c>
      <c r="B33">
        <v>600</v>
      </c>
      <c r="E33" t="s">
        <v>133</v>
      </c>
      <c r="F33">
        <v>2.2483</v>
      </c>
    </row>
    <row r="34" spans="1:6">
      <c r="A34" t="s">
        <v>151</v>
      </c>
      <c r="B34">
        <v>600</v>
      </c>
      <c r="E34" t="s">
        <v>151</v>
      </c>
      <c r="F34">
        <v>507.2</v>
      </c>
    </row>
    <row r="35" spans="1:6">
      <c r="A35" t="s">
        <v>30</v>
      </c>
      <c r="B35">
        <v>2.09966</v>
      </c>
      <c r="C35">
        <v>1</v>
      </c>
      <c r="E35" t="s">
        <v>30</v>
      </c>
      <c r="F35">
        <v>0.106665</v>
      </c>
    </row>
    <row r="36" spans="1:6">
      <c r="A36" t="s">
        <v>33</v>
      </c>
      <c r="B36">
        <v>5.704189</v>
      </c>
      <c r="C36">
        <v>1</v>
      </c>
      <c r="E36" t="s">
        <v>33</v>
      </c>
      <c r="F36">
        <v>0.272153</v>
      </c>
    </row>
    <row r="37" spans="1:6">
      <c r="A37" t="s">
        <v>106</v>
      </c>
      <c r="B37">
        <v>35.498098</v>
      </c>
      <c r="C37">
        <v>1</v>
      </c>
      <c r="E37" t="s">
        <v>106</v>
      </c>
      <c r="F37">
        <v>1.31996</v>
      </c>
    </row>
    <row r="38" spans="1:6">
      <c r="A38" t="s">
        <v>36</v>
      </c>
      <c r="B38">
        <v>0.929653</v>
      </c>
      <c r="C38">
        <v>1</v>
      </c>
      <c r="E38" t="s">
        <v>36</v>
      </c>
      <c r="F38">
        <v>0.028602</v>
      </c>
    </row>
    <row r="39" spans="1:6">
      <c r="A39" t="s">
        <v>38</v>
      </c>
      <c r="B39">
        <v>0.734175</v>
      </c>
      <c r="C39">
        <v>1</v>
      </c>
      <c r="E39" t="s">
        <v>38</v>
      </c>
      <c r="F39">
        <v>0.055612</v>
      </c>
    </row>
    <row r="40" spans="1:6">
      <c r="A40" t="s">
        <v>139</v>
      </c>
      <c r="B40">
        <v>600</v>
      </c>
      <c r="E40" t="s">
        <v>139</v>
      </c>
      <c r="F40">
        <v>600</v>
      </c>
    </row>
    <row r="41" spans="1:6">
      <c r="A41" t="s">
        <v>39</v>
      </c>
      <c r="B41">
        <v>0.038624</v>
      </c>
      <c r="C41">
        <v>1</v>
      </c>
      <c r="E41" t="s">
        <v>39</v>
      </c>
      <c r="F41">
        <v>0.01257</v>
      </c>
    </row>
    <row r="42" spans="1:6">
      <c r="A42" t="s">
        <v>40</v>
      </c>
      <c r="B42">
        <v>0.017727</v>
      </c>
      <c r="C42">
        <v>1</v>
      </c>
      <c r="E42" t="s">
        <v>40</v>
      </c>
      <c r="F42">
        <v>0.013134</v>
      </c>
    </row>
    <row r="43" spans="1:6">
      <c r="A43" t="s">
        <v>41</v>
      </c>
      <c r="B43">
        <v>0.110938</v>
      </c>
      <c r="C43">
        <v>1</v>
      </c>
      <c r="E43" t="s">
        <v>41</v>
      </c>
      <c r="F43">
        <v>0.020292</v>
      </c>
    </row>
    <row r="44" spans="1:6">
      <c r="A44" t="s">
        <v>148</v>
      </c>
      <c r="B44">
        <v>600</v>
      </c>
      <c r="E44" t="s">
        <v>148</v>
      </c>
      <c r="F44">
        <v>600</v>
      </c>
    </row>
    <row r="45" spans="1:6">
      <c r="A45" t="s">
        <v>42</v>
      </c>
      <c r="B45">
        <v>0.192865</v>
      </c>
      <c r="C45">
        <v>1</v>
      </c>
      <c r="E45" t="s">
        <v>42</v>
      </c>
      <c r="F45">
        <v>0.027161</v>
      </c>
    </row>
    <row r="46" spans="1:6">
      <c r="A46" t="s">
        <v>43</v>
      </c>
      <c r="B46">
        <v>0.046961</v>
      </c>
      <c r="C46">
        <v>1</v>
      </c>
      <c r="E46" t="s">
        <v>43</v>
      </c>
      <c r="F46">
        <v>0.022072</v>
      </c>
    </row>
    <row r="47" spans="1:6">
      <c r="A47" t="s">
        <v>44</v>
      </c>
      <c r="B47">
        <v>0.334333</v>
      </c>
      <c r="C47">
        <v>1</v>
      </c>
      <c r="E47" t="s">
        <v>44</v>
      </c>
      <c r="F47">
        <v>0.018596</v>
      </c>
    </row>
    <row r="48" spans="1:6">
      <c r="A48" t="s">
        <v>121</v>
      </c>
      <c r="B48">
        <v>600</v>
      </c>
      <c r="E48" t="s">
        <v>121</v>
      </c>
      <c r="F48">
        <v>600</v>
      </c>
    </row>
    <row r="49" spans="1:6">
      <c r="A49" t="s">
        <v>45</v>
      </c>
      <c r="B49">
        <v>0.959957</v>
      </c>
      <c r="C49">
        <v>1</v>
      </c>
      <c r="E49" t="s">
        <v>45</v>
      </c>
      <c r="F49">
        <v>0.036699</v>
      </c>
    </row>
    <row r="50" spans="1:6">
      <c r="A50" t="s">
        <v>47</v>
      </c>
      <c r="B50">
        <v>0.018791</v>
      </c>
      <c r="C50">
        <v>1</v>
      </c>
      <c r="E50" t="s">
        <v>47</v>
      </c>
      <c r="F50">
        <v>0.036292</v>
      </c>
    </row>
    <row r="51" spans="1:6">
      <c r="A51" t="s">
        <v>48</v>
      </c>
      <c r="B51">
        <v>3.306367</v>
      </c>
      <c r="C51">
        <v>1</v>
      </c>
      <c r="E51" t="s">
        <v>48</v>
      </c>
      <c r="F51">
        <v>0.028083</v>
      </c>
    </row>
    <row r="52" spans="1:6">
      <c r="A52" t="s">
        <v>152</v>
      </c>
      <c r="B52">
        <v>600</v>
      </c>
      <c r="E52" t="s">
        <v>152</v>
      </c>
      <c r="F52">
        <v>85.1851</v>
      </c>
    </row>
    <row r="53" spans="1:6">
      <c r="A53" t="s">
        <v>49</v>
      </c>
      <c r="B53">
        <v>0.07778</v>
      </c>
      <c r="C53">
        <v>1</v>
      </c>
      <c r="E53" t="s">
        <v>49</v>
      </c>
      <c r="F53">
        <v>0.027835</v>
      </c>
    </row>
    <row r="54" spans="1:6">
      <c r="A54" t="s">
        <v>114</v>
      </c>
      <c r="B54">
        <v>600</v>
      </c>
      <c r="E54" t="s">
        <v>114</v>
      </c>
      <c r="F54">
        <v>600</v>
      </c>
    </row>
    <row r="55" spans="1:6">
      <c r="A55" t="s">
        <v>50</v>
      </c>
      <c r="B55">
        <v>0.157261</v>
      </c>
      <c r="C55">
        <v>1</v>
      </c>
      <c r="E55" t="s">
        <v>50</v>
      </c>
      <c r="F55">
        <v>0.016607</v>
      </c>
    </row>
    <row r="56" spans="1:6">
      <c r="A56" t="s">
        <v>51</v>
      </c>
      <c r="B56">
        <v>0.059876</v>
      </c>
      <c r="C56">
        <v>1</v>
      </c>
      <c r="E56" t="s">
        <v>51</v>
      </c>
      <c r="F56">
        <v>0.022168</v>
      </c>
    </row>
    <row r="57" spans="1:6">
      <c r="A57" t="s">
        <v>52</v>
      </c>
      <c r="B57">
        <v>2.831951</v>
      </c>
      <c r="C57">
        <v>1</v>
      </c>
      <c r="E57" t="s">
        <v>52</v>
      </c>
      <c r="F57">
        <v>0.283131</v>
      </c>
    </row>
    <row r="58" spans="1:6">
      <c r="A58" t="s">
        <v>55</v>
      </c>
      <c r="B58">
        <v>0.204354</v>
      </c>
      <c r="C58">
        <v>1</v>
      </c>
      <c r="E58" t="s">
        <v>55</v>
      </c>
      <c r="F58">
        <v>0.047423</v>
      </c>
    </row>
    <row r="59" spans="1:6">
      <c r="A59" t="s">
        <v>56</v>
      </c>
      <c r="B59">
        <v>0.04498</v>
      </c>
      <c r="C59">
        <v>1</v>
      </c>
      <c r="E59" t="s">
        <v>56</v>
      </c>
      <c r="F59">
        <v>0.0255</v>
      </c>
    </row>
    <row r="60" spans="1:6">
      <c r="A60" t="s">
        <v>57</v>
      </c>
      <c r="B60">
        <v>0.085619</v>
      </c>
      <c r="C60">
        <v>1</v>
      </c>
      <c r="E60" t="s">
        <v>57</v>
      </c>
      <c r="F60">
        <v>0.014981</v>
      </c>
    </row>
    <row r="61" spans="1:6">
      <c r="A61" t="s">
        <v>58</v>
      </c>
      <c r="B61">
        <v>0.022835</v>
      </c>
      <c r="C61">
        <v>1</v>
      </c>
      <c r="E61" t="s">
        <v>58</v>
      </c>
      <c r="F61">
        <v>0.020431</v>
      </c>
    </row>
    <row r="62" spans="1:6">
      <c r="A62" t="s">
        <v>59</v>
      </c>
      <c r="B62">
        <v>600</v>
      </c>
      <c r="E62" t="s">
        <v>59</v>
      </c>
      <c r="F62">
        <v>600</v>
      </c>
    </row>
    <row r="63" spans="1:6">
      <c r="A63" t="s">
        <v>60</v>
      </c>
      <c r="B63">
        <v>600</v>
      </c>
      <c r="E63" t="s">
        <v>60</v>
      </c>
      <c r="F63">
        <v>600</v>
      </c>
    </row>
    <row r="64" spans="1:6">
      <c r="A64" t="s">
        <v>61</v>
      </c>
      <c r="B64">
        <v>23.74667</v>
      </c>
      <c r="C64">
        <v>1</v>
      </c>
      <c r="E64" t="s">
        <v>61</v>
      </c>
      <c r="F64">
        <v>0.138912</v>
      </c>
    </row>
    <row r="65" spans="1:6">
      <c r="A65" t="s">
        <v>109</v>
      </c>
      <c r="B65">
        <v>39.931805</v>
      </c>
      <c r="C65">
        <v>0</v>
      </c>
      <c r="E65" t="s">
        <v>109</v>
      </c>
      <c r="F65">
        <v>145.002</v>
      </c>
    </row>
    <row r="66" spans="1:6">
      <c r="A66" t="s">
        <v>128</v>
      </c>
      <c r="B66">
        <v>600</v>
      </c>
      <c r="E66" t="s">
        <v>128</v>
      </c>
      <c r="F66">
        <v>600</v>
      </c>
    </row>
    <row r="67" spans="1:6">
      <c r="A67" t="s">
        <v>153</v>
      </c>
      <c r="B67">
        <v>600</v>
      </c>
      <c r="E67" t="s">
        <v>153</v>
      </c>
      <c r="F67">
        <v>501.761</v>
      </c>
    </row>
    <row r="68" spans="1:6">
      <c r="A68" t="s">
        <v>64</v>
      </c>
      <c r="B68">
        <v>1.578161</v>
      </c>
      <c r="C68">
        <v>1</v>
      </c>
      <c r="E68" t="s">
        <v>64</v>
      </c>
      <c r="F68">
        <v>0.038809</v>
      </c>
    </row>
    <row r="69" spans="1:6">
      <c r="A69" t="s">
        <v>99</v>
      </c>
      <c r="B69">
        <v>600</v>
      </c>
      <c r="C69">
        <v>0</v>
      </c>
      <c r="E69" t="s">
        <v>99</v>
      </c>
      <c r="F69">
        <v>0.317629</v>
      </c>
    </row>
    <row r="70" spans="1:6">
      <c r="A70" t="s">
        <v>83</v>
      </c>
      <c r="B70">
        <v>600</v>
      </c>
      <c r="E70" t="s">
        <v>83</v>
      </c>
      <c r="F70">
        <v>600</v>
      </c>
    </row>
    <row r="71" spans="1:6">
      <c r="A71" t="s">
        <v>144</v>
      </c>
      <c r="B71">
        <v>600</v>
      </c>
      <c r="E71" t="s">
        <v>144</v>
      </c>
      <c r="F71">
        <v>600</v>
      </c>
    </row>
    <row r="72" spans="1:6">
      <c r="A72" t="s">
        <v>155</v>
      </c>
      <c r="B72">
        <v>600</v>
      </c>
      <c r="E72" t="s">
        <v>155</v>
      </c>
      <c r="F72">
        <v>1.91635</v>
      </c>
    </row>
    <row r="73" spans="1:6">
      <c r="A73" t="s">
        <v>67</v>
      </c>
      <c r="B73">
        <v>600</v>
      </c>
      <c r="E73" t="s">
        <v>67</v>
      </c>
      <c r="F73">
        <v>600</v>
      </c>
    </row>
    <row r="74" spans="1:6">
      <c r="A74" t="s">
        <v>150</v>
      </c>
      <c r="B74">
        <v>600</v>
      </c>
      <c r="E74" t="s">
        <v>150</v>
      </c>
      <c r="F74">
        <v>0.751461</v>
      </c>
    </row>
    <row r="75" spans="1:6">
      <c r="A75" t="s">
        <v>149</v>
      </c>
      <c r="B75">
        <v>600</v>
      </c>
      <c r="E75" t="s">
        <v>149</v>
      </c>
      <c r="F75">
        <v>0.509075</v>
      </c>
    </row>
    <row r="76" spans="1:6">
      <c r="A76" t="s">
        <v>138</v>
      </c>
      <c r="B76">
        <v>600</v>
      </c>
      <c r="E76" t="s">
        <v>138</v>
      </c>
      <c r="F76">
        <v>3.71132</v>
      </c>
    </row>
    <row r="77" spans="1:6">
      <c r="A77" t="s">
        <v>90</v>
      </c>
      <c r="B77">
        <v>600</v>
      </c>
      <c r="C77">
        <v>0</v>
      </c>
      <c r="E77" t="s">
        <v>90</v>
      </c>
      <c r="F77">
        <v>1.35336</v>
      </c>
    </row>
    <row r="78" spans="1:6">
      <c r="A78" t="s">
        <v>100</v>
      </c>
      <c r="B78">
        <v>600</v>
      </c>
      <c r="C78">
        <v>0</v>
      </c>
      <c r="E78" t="s">
        <v>100</v>
      </c>
      <c r="F78">
        <v>600</v>
      </c>
    </row>
    <row r="79" spans="1:6">
      <c r="A79" t="s">
        <v>126</v>
      </c>
      <c r="B79">
        <v>600</v>
      </c>
      <c r="E79" t="s">
        <v>126</v>
      </c>
      <c r="F79">
        <v>64.5449</v>
      </c>
    </row>
    <row r="80" spans="1:6">
      <c r="A80" t="s">
        <v>147</v>
      </c>
      <c r="B80">
        <v>600</v>
      </c>
      <c r="E80" t="s">
        <v>147</v>
      </c>
      <c r="F80">
        <v>7.03442</v>
      </c>
    </row>
  </sheetData>
  <sortState ref="A2:C80">
    <sortCondition ref="A1:A8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5"/>
  <sheetViews>
    <sheetView topLeftCell="P86" workbookViewId="0">
      <selection activeCell="R113" sqref="R113"/>
    </sheetView>
  </sheetViews>
  <sheetFormatPr defaultColWidth="9" defaultRowHeight="14"/>
  <cols>
    <col min="1" max="1" width="25.4545454545455" customWidth="1"/>
    <col min="2" max="2" width="21.0909090909091" customWidth="1"/>
    <col min="3" max="3" width="9.27272727272727" customWidth="1"/>
    <col min="4" max="4" width="11.3636363636364" customWidth="1"/>
    <col min="6" max="6" width="21.0909090909091" customWidth="1"/>
    <col min="7" max="7" width="9.27272727272727" customWidth="1"/>
    <col min="8" max="8" width="12.4545454545455" customWidth="1"/>
    <col min="10" max="10" width="21.0909090909091" customWidth="1"/>
    <col min="11" max="11" width="9.27272727272727" customWidth="1"/>
    <col min="12" max="12" width="11.3636363636364" customWidth="1"/>
    <col min="14" max="14" width="21.0909090909091" customWidth="1"/>
    <col min="15" max="15" width="9.27272727272727" customWidth="1"/>
    <col min="16" max="16" width="11.3636363636364" customWidth="1"/>
    <col min="18" max="18" width="21.0909090909091" customWidth="1"/>
    <col min="19" max="19" width="9.27272727272727" customWidth="1"/>
    <col min="20" max="20" width="12.4545454545455" customWidth="1"/>
  </cols>
  <sheetData>
    <row r="1" spans="1:20">
      <c r="B1" t="s">
        <v>159</v>
      </c>
      <c r="F1" t="s">
        <v>160</v>
      </c>
      <c r="J1" t="s">
        <v>161</v>
      </c>
      <c r="N1" t="s">
        <v>162</v>
      </c>
      <c r="R1" t="s">
        <v>163</v>
      </c>
    </row>
    <row r="2" spans="1:20">
      <c r="A2" t="s">
        <v>156</v>
      </c>
      <c r="B2" t="s">
        <v>164</v>
      </c>
      <c r="C2" t="s">
        <v>165</v>
      </c>
      <c r="D2" s="2" t="s">
        <v>166</v>
      </c>
      <c r="F2" t="s">
        <v>164</v>
      </c>
      <c r="G2" t="s">
        <v>165</v>
      </c>
      <c r="H2" s="2" t="s">
        <v>166</v>
      </c>
      <c r="J2" t="s">
        <v>164</v>
      </c>
      <c r="K2" t="s">
        <v>165</v>
      </c>
      <c r="L2" s="2" t="s">
        <v>166</v>
      </c>
      <c r="N2" t="s">
        <v>164</v>
      </c>
      <c r="O2" t="s">
        <v>165</v>
      </c>
      <c r="P2" s="2" t="s">
        <v>166</v>
      </c>
      <c r="R2" t="s">
        <v>164</v>
      </c>
      <c r="S2" t="s">
        <v>165</v>
      </c>
      <c r="T2" s="2" t="s">
        <v>166</v>
      </c>
    </row>
    <row r="4" spans="1:20">
      <c r="A4" t="s">
        <v>68</v>
      </c>
      <c r="B4">
        <v>600</v>
      </c>
      <c r="C4" s="3">
        <v>0.283529</v>
      </c>
      <c r="D4">
        <f>B4-C4</f>
        <v>599.716471</v>
      </c>
      <c r="F4">
        <v>600</v>
      </c>
      <c r="G4" s="3">
        <v>1.01099</v>
      </c>
      <c r="H4">
        <f>F4-G4</f>
        <v>598.98901</v>
      </c>
      <c r="J4">
        <v>600</v>
      </c>
      <c r="K4" s="3">
        <v>0.772423</v>
      </c>
      <c r="L4">
        <f>J4-K4</f>
        <v>599.227577</v>
      </c>
      <c r="N4">
        <v>600</v>
      </c>
      <c r="O4" s="3">
        <v>0.870693</v>
      </c>
      <c r="P4">
        <f>N4-O4</f>
        <v>599.129307</v>
      </c>
      <c r="R4">
        <v>600</v>
      </c>
      <c r="S4" s="3">
        <v>0.543253</v>
      </c>
      <c r="T4">
        <f>R4-S4</f>
        <v>599.456747</v>
      </c>
    </row>
    <row r="5" spans="1:20">
      <c r="A5" t="s">
        <v>117</v>
      </c>
      <c r="B5">
        <v>600</v>
      </c>
      <c r="C5" s="3">
        <v>0.028785</v>
      </c>
      <c r="D5">
        <f t="shared" ref="D5:D68" si="0">B5-C5</f>
        <v>599.971215</v>
      </c>
      <c r="F5">
        <v>600</v>
      </c>
      <c r="G5" s="3">
        <v>0.04591</v>
      </c>
      <c r="H5">
        <f t="shared" ref="H5:H68" si="1">F5-G5</f>
        <v>599.95409</v>
      </c>
      <c r="J5">
        <v>600</v>
      </c>
      <c r="K5" s="3">
        <v>0.061897</v>
      </c>
      <c r="L5">
        <f t="shared" ref="L5:L68" si="2">J5-K5</f>
        <v>599.938103</v>
      </c>
      <c r="N5">
        <v>600</v>
      </c>
      <c r="O5" s="3">
        <v>0.15481</v>
      </c>
      <c r="P5">
        <f t="shared" ref="P5:P68" si="3">N5-O5</f>
        <v>599.84519</v>
      </c>
      <c r="R5">
        <v>600</v>
      </c>
      <c r="S5" s="3">
        <v>0.094187</v>
      </c>
      <c r="T5">
        <f t="shared" ref="T5:T68" si="4">R5-S5</f>
        <v>599.905813</v>
      </c>
    </row>
    <row r="6" spans="1:20">
      <c r="A6" t="s">
        <v>142</v>
      </c>
      <c r="B6">
        <v>600</v>
      </c>
      <c r="C6" s="3">
        <v>0.218405</v>
      </c>
      <c r="D6">
        <f t="shared" si="0"/>
        <v>599.781595</v>
      </c>
      <c r="F6">
        <v>600</v>
      </c>
      <c r="G6" s="3">
        <v>0.247253</v>
      </c>
      <c r="H6">
        <f t="shared" si="1"/>
        <v>599.752747</v>
      </c>
      <c r="J6">
        <v>600</v>
      </c>
      <c r="K6" s="3">
        <v>0.294372</v>
      </c>
      <c r="L6">
        <f t="shared" si="2"/>
        <v>599.705628</v>
      </c>
      <c r="N6">
        <v>600</v>
      </c>
      <c r="O6" s="3">
        <v>0.31611</v>
      </c>
      <c r="P6">
        <f t="shared" si="3"/>
        <v>599.68389</v>
      </c>
      <c r="R6">
        <v>600</v>
      </c>
      <c r="S6" s="3">
        <v>0.50573</v>
      </c>
      <c r="T6">
        <f t="shared" si="4"/>
        <v>599.49427</v>
      </c>
    </row>
    <row r="7" spans="1:20">
      <c r="A7" t="s">
        <v>8</v>
      </c>
      <c r="B7">
        <v>0.314764</v>
      </c>
      <c r="C7" s="3">
        <v>0.027893</v>
      </c>
      <c r="D7">
        <f t="shared" si="0"/>
        <v>0.286871</v>
      </c>
      <c r="F7">
        <v>97.731797</v>
      </c>
      <c r="G7" s="3">
        <v>0.074215</v>
      </c>
      <c r="H7">
        <f t="shared" si="1"/>
        <v>97.657582</v>
      </c>
      <c r="J7">
        <v>600</v>
      </c>
      <c r="K7" s="3">
        <v>0.070396</v>
      </c>
      <c r="L7">
        <f t="shared" si="2"/>
        <v>599.929604</v>
      </c>
      <c r="N7">
        <v>184.564858</v>
      </c>
      <c r="O7" s="3">
        <v>0.074286</v>
      </c>
      <c r="P7">
        <f t="shared" si="3"/>
        <v>184.490572</v>
      </c>
      <c r="R7">
        <v>600</v>
      </c>
      <c r="S7" s="3">
        <v>0.0734</v>
      </c>
      <c r="T7">
        <f t="shared" si="4"/>
        <v>599.9266</v>
      </c>
    </row>
    <row r="8" spans="1:20">
      <c r="A8" t="s">
        <v>84</v>
      </c>
      <c r="B8">
        <v>600</v>
      </c>
      <c r="C8" s="3">
        <v>2.33813</v>
      </c>
      <c r="D8">
        <f t="shared" si="0"/>
        <v>597.66187</v>
      </c>
      <c r="F8">
        <v>600</v>
      </c>
      <c r="G8" s="3">
        <v>2.92106</v>
      </c>
      <c r="H8">
        <f t="shared" si="1"/>
        <v>597.07894</v>
      </c>
      <c r="J8">
        <v>600</v>
      </c>
      <c r="K8" s="3">
        <v>5.35324</v>
      </c>
      <c r="L8">
        <f t="shared" si="2"/>
        <v>594.64676</v>
      </c>
      <c r="N8">
        <v>600</v>
      </c>
      <c r="O8" s="3">
        <v>22.6058</v>
      </c>
      <c r="P8">
        <f t="shared" si="3"/>
        <v>577.3942</v>
      </c>
      <c r="R8">
        <v>600</v>
      </c>
      <c r="S8" s="3">
        <v>11.231</v>
      </c>
      <c r="T8">
        <f t="shared" si="4"/>
        <v>588.769</v>
      </c>
    </row>
    <row r="9" spans="1:20">
      <c r="A9" t="s">
        <v>132</v>
      </c>
      <c r="B9">
        <v>600</v>
      </c>
      <c r="C9" s="3">
        <v>600</v>
      </c>
      <c r="D9">
        <f t="shared" si="0"/>
        <v>0</v>
      </c>
      <c r="F9">
        <v>600</v>
      </c>
      <c r="G9" s="3">
        <v>600</v>
      </c>
      <c r="H9">
        <f t="shared" si="1"/>
        <v>0</v>
      </c>
      <c r="J9">
        <v>600</v>
      </c>
      <c r="K9" s="3">
        <v>9.57294</v>
      </c>
      <c r="L9">
        <f t="shared" si="2"/>
        <v>590.42706</v>
      </c>
      <c r="N9">
        <v>600</v>
      </c>
      <c r="O9" s="3">
        <v>373.693</v>
      </c>
      <c r="P9">
        <f t="shared" si="3"/>
        <v>226.307</v>
      </c>
      <c r="R9">
        <v>600</v>
      </c>
      <c r="S9" s="3">
        <v>600</v>
      </c>
      <c r="T9">
        <f t="shared" si="4"/>
        <v>0</v>
      </c>
    </row>
    <row r="10" spans="1:20">
      <c r="A10" t="s">
        <v>92</v>
      </c>
      <c r="B10">
        <v>600</v>
      </c>
      <c r="C10" s="3">
        <v>0.309356</v>
      </c>
      <c r="D10">
        <f t="shared" si="0"/>
        <v>599.690644</v>
      </c>
      <c r="F10">
        <v>600</v>
      </c>
      <c r="G10" s="3">
        <v>0.948294</v>
      </c>
      <c r="H10">
        <f t="shared" si="1"/>
        <v>599.051706</v>
      </c>
      <c r="J10">
        <v>600</v>
      </c>
      <c r="K10" s="3">
        <v>2.26026</v>
      </c>
      <c r="L10">
        <f t="shared" si="2"/>
        <v>597.73974</v>
      </c>
      <c r="N10">
        <v>600</v>
      </c>
      <c r="O10" s="3">
        <v>9.05728</v>
      </c>
      <c r="P10">
        <f t="shared" si="3"/>
        <v>590.94272</v>
      </c>
      <c r="R10">
        <v>600</v>
      </c>
      <c r="S10" s="3">
        <v>1.06522</v>
      </c>
      <c r="T10">
        <f t="shared" si="4"/>
        <v>598.93478</v>
      </c>
    </row>
    <row r="11" spans="1:20">
      <c r="A11" t="s">
        <v>13</v>
      </c>
      <c r="B11">
        <v>8.496755</v>
      </c>
      <c r="C11" s="3">
        <v>0.131373</v>
      </c>
      <c r="D11">
        <f t="shared" si="0"/>
        <v>8.365382</v>
      </c>
      <c r="F11">
        <v>10.209711</v>
      </c>
      <c r="G11" s="3">
        <v>0.11142</v>
      </c>
      <c r="H11">
        <f t="shared" si="1"/>
        <v>10.098291</v>
      </c>
      <c r="J11">
        <v>11.99786</v>
      </c>
      <c r="K11" s="3">
        <v>0.11845</v>
      </c>
      <c r="L11">
        <f t="shared" si="2"/>
        <v>11.87941</v>
      </c>
      <c r="N11">
        <v>14.386088</v>
      </c>
      <c r="O11" s="3">
        <v>0.119914</v>
      </c>
      <c r="P11">
        <f t="shared" si="3"/>
        <v>14.266174</v>
      </c>
      <c r="R11">
        <v>15.672828</v>
      </c>
      <c r="S11" s="3">
        <v>0.120965</v>
      </c>
      <c r="T11">
        <f t="shared" si="4"/>
        <v>15.551863</v>
      </c>
    </row>
    <row r="12" spans="1:20">
      <c r="A12" t="s">
        <v>137</v>
      </c>
      <c r="B12">
        <v>600</v>
      </c>
      <c r="C12" s="3">
        <v>484.57</v>
      </c>
      <c r="D12">
        <f t="shared" si="0"/>
        <v>115.43</v>
      </c>
      <c r="F12">
        <v>600</v>
      </c>
      <c r="G12" s="3">
        <v>103.131</v>
      </c>
      <c r="H12">
        <f t="shared" si="1"/>
        <v>496.869</v>
      </c>
      <c r="J12">
        <v>600</v>
      </c>
      <c r="K12" s="3">
        <v>159.49</v>
      </c>
      <c r="L12">
        <f t="shared" si="2"/>
        <v>440.51</v>
      </c>
      <c r="N12">
        <v>600</v>
      </c>
      <c r="O12" s="3">
        <v>28.0964</v>
      </c>
      <c r="P12">
        <f t="shared" si="3"/>
        <v>571.9036</v>
      </c>
      <c r="R12">
        <v>600</v>
      </c>
      <c r="S12" s="3">
        <v>600</v>
      </c>
      <c r="T12">
        <f t="shared" si="4"/>
        <v>0</v>
      </c>
    </row>
    <row r="13" spans="1:20">
      <c r="A13" t="s">
        <v>15</v>
      </c>
      <c r="B13">
        <v>600</v>
      </c>
      <c r="C13" s="3">
        <v>0.169905</v>
      </c>
      <c r="D13">
        <f t="shared" si="0"/>
        <v>599.830095</v>
      </c>
      <c r="F13">
        <v>600</v>
      </c>
      <c r="G13" s="3">
        <v>0.275277</v>
      </c>
      <c r="H13">
        <f t="shared" si="1"/>
        <v>599.724723</v>
      </c>
      <c r="J13">
        <v>600</v>
      </c>
      <c r="K13" s="3">
        <v>0.255709</v>
      </c>
      <c r="L13">
        <f t="shared" si="2"/>
        <v>599.744291</v>
      </c>
      <c r="N13">
        <v>600</v>
      </c>
      <c r="O13" s="3">
        <v>0.255021</v>
      </c>
      <c r="P13">
        <f t="shared" si="3"/>
        <v>599.744979</v>
      </c>
      <c r="R13">
        <v>600</v>
      </c>
      <c r="S13" s="3">
        <v>0.293214</v>
      </c>
      <c r="T13">
        <f t="shared" si="4"/>
        <v>599.706786</v>
      </c>
    </row>
    <row r="14" spans="1:20">
      <c r="A14" t="s">
        <v>119</v>
      </c>
      <c r="B14">
        <v>600</v>
      </c>
      <c r="C14" s="3">
        <v>0.374941</v>
      </c>
      <c r="D14">
        <f t="shared" si="0"/>
        <v>599.625059</v>
      </c>
      <c r="F14">
        <v>600</v>
      </c>
      <c r="G14" s="3">
        <v>2.77017</v>
      </c>
      <c r="H14">
        <f t="shared" si="1"/>
        <v>597.22983</v>
      </c>
      <c r="J14">
        <v>600</v>
      </c>
      <c r="K14" s="3">
        <v>14.2103</v>
      </c>
      <c r="L14">
        <f t="shared" si="2"/>
        <v>585.7897</v>
      </c>
      <c r="N14">
        <v>600</v>
      </c>
      <c r="O14" s="3">
        <v>1.84491</v>
      </c>
      <c r="P14">
        <f t="shared" si="3"/>
        <v>598.15509</v>
      </c>
      <c r="R14">
        <v>600</v>
      </c>
      <c r="S14" s="3">
        <v>10.6002</v>
      </c>
      <c r="T14">
        <f t="shared" si="4"/>
        <v>589.3998</v>
      </c>
    </row>
    <row r="15" spans="1:20">
      <c r="A15" t="s">
        <v>143</v>
      </c>
      <c r="B15">
        <v>600</v>
      </c>
      <c r="C15" s="3">
        <v>16.1562</v>
      </c>
      <c r="D15">
        <f t="shared" si="0"/>
        <v>583.8438</v>
      </c>
      <c r="F15">
        <v>600</v>
      </c>
      <c r="G15" s="3">
        <v>15.2495</v>
      </c>
      <c r="H15">
        <f t="shared" si="1"/>
        <v>584.7505</v>
      </c>
      <c r="J15">
        <v>600</v>
      </c>
      <c r="K15" s="3">
        <v>600</v>
      </c>
      <c r="L15">
        <f t="shared" si="2"/>
        <v>0</v>
      </c>
      <c r="N15">
        <v>600</v>
      </c>
      <c r="O15" s="3">
        <v>600</v>
      </c>
      <c r="P15">
        <f t="shared" si="3"/>
        <v>0</v>
      </c>
      <c r="R15">
        <v>600</v>
      </c>
      <c r="S15" s="3">
        <v>600</v>
      </c>
      <c r="T15">
        <f t="shared" si="4"/>
        <v>0</v>
      </c>
    </row>
    <row r="16" spans="1:20">
      <c r="A16" t="s">
        <v>141</v>
      </c>
      <c r="B16">
        <v>600</v>
      </c>
      <c r="C16" s="3">
        <v>0.523032</v>
      </c>
      <c r="D16">
        <f t="shared" si="0"/>
        <v>599.476968</v>
      </c>
      <c r="F16">
        <v>600</v>
      </c>
      <c r="G16" s="3">
        <v>0.877472</v>
      </c>
      <c r="H16">
        <f t="shared" si="1"/>
        <v>599.122528</v>
      </c>
      <c r="J16">
        <v>600</v>
      </c>
      <c r="K16" s="3">
        <v>0.724532</v>
      </c>
      <c r="L16">
        <f t="shared" si="2"/>
        <v>599.275468</v>
      </c>
      <c r="N16">
        <v>600</v>
      </c>
      <c r="O16" s="3">
        <v>0.746151</v>
      </c>
      <c r="P16">
        <f t="shared" si="3"/>
        <v>599.253849</v>
      </c>
      <c r="R16">
        <v>600</v>
      </c>
      <c r="S16" s="3">
        <v>1.656</v>
      </c>
      <c r="T16">
        <f t="shared" si="4"/>
        <v>598.344</v>
      </c>
    </row>
    <row r="17" spans="1:20">
      <c r="A17" t="s">
        <v>140</v>
      </c>
      <c r="B17">
        <v>600</v>
      </c>
      <c r="C17" s="3">
        <v>0.035274</v>
      </c>
      <c r="D17">
        <f t="shared" si="0"/>
        <v>599.964726</v>
      </c>
      <c r="F17">
        <v>600</v>
      </c>
      <c r="G17" s="3">
        <v>0.039627</v>
      </c>
      <c r="H17">
        <f t="shared" si="1"/>
        <v>599.960373</v>
      </c>
      <c r="J17">
        <v>600</v>
      </c>
      <c r="K17" s="3">
        <v>0.095374</v>
      </c>
      <c r="L17">
        <f t="shared" si="2"/>
        <v>599.904626</v>
      </c>
      <c r="N17">
        <v>600</v>
      </c>
      <c r="O17" s="3">
        <v>0.089324</v>
      </c>
      <c r="P17">
        <f t="shared" si="3"/>
        <v>599.910676</v>
      </c>
      <c r="R17">
        <v>600</v>
      </c>
      <c r="S17" s="3">
        <v>0.086242</v>
      </c>
      <c r="T17">
        <f t="shared" si="4"/>
        <v>599.913758</v>
      </c>
    </row>
    <row r="18" spans="1:20">
      <c r="A18" t="s">
        <v>130</v>
      </c>
      <c r="B18">
        <v>600</v>
      </c>
      <c r="C18" s="3">
        <v>1.61518</v>
      </c>
      <c r="D18">
        <f t="shared" si="0"/>
        <v>598.38482</v>
      </c>
      <c r="F18">
        <v>600</v>
      </c>
      <c r="G18" s="3">
        <v>3.52199</v>
      </c>
      <c r="H18">
        <f t="shared" si="1"/>
        <v>596.47801</v>
      </c>
      <c r="J18">
        <v>600</v>
      </c>
      <c r="K18" s="3">
        <v>6.20868</v>
      </c>
      <c r="L18">
        <f t="shared" si="2"/>
        <v>593.79132</v>
      </c>
      <c r="N18">
        <v>600</v>
      </c>
      <c r="O18" s="3">
        <v>12.0443</v>
      </c>
      <c r="P18">
        <f t="shared" si="3"/>
        <v>587.9557</v>
      </c>
      <c r="R18">
        <v>600</v>
      </c>
      <c r="S18" s="3">
        <v>7.82423</v>
      </c>
      <c r="T18">
        <f t="shared" si="4"/>
        <v>592.17577</v>
      </c>
    </row>
    <row r="19" spans="1:20">
      <c r="A19" t="s">
        <v>72</v>
      </c>
      <c r="B19">
        <v>600</v>
      </c>
      <c r="C19" s="3">
        <v>0.369304</v>
      </c>
      <c r="D19">
        <f t="shared" si="0"/>
        <v>599.630696</v>
      </c>
      <c r="F19">
        <v>600</v>
      </c>
      <c r="G19" s="3">
        <v>0.299507</v>
      </c>
      <c r="H19">
        <f t="shared" si="1"/>
        <v>599.700493</v>
      </c>
      <c r="J19">
        <v>600</v>
      </c>
      <c r="K19" s="3">
        <v>0.272871</v>
      </c>
      <c r="L19">
        <f t="shared" si="2"/>
        <v>599.727129</v>
      </c>
      <c r="N19">
        <v>600</v>
      </c>
      <c r="O19" s="3">
        <v>0.353288</v>
      </c>
      <c r="P19">
        <f t="shared" si="3"/>
        <v>599.646712</v>
      </c>
      <c r="R19">
        <v>600</v>
      </c>
      <c r="S19" s="3">
        <v>0.396396</v>
      </c>
      <c r="T19">
        <f t="shared" si="4"/>
        <v>599.603604</v>
      </c>
    </row>
    <row r="20" spans="1:20">
      <c r="A20" t="s">
        <v>17</v>
      </c>
      <c r="B20">
        <v>600</v>
      </c>
      <c r="C20" s="3">
        <v>45.1384</v>
      </c>
      <c r="D20">
        <f t="shared" si="0"/>
        <v>554.8616</v>
      </c>
      <c r="F20">
        <v>31.085142</v>
      </c>
      <c r="G20" s="3">
        <v>158.39</v>
      </c>
      <c r="H20">
        <f t="shared" si="1"/>
        <v>-127.304858</v>
      </c>
      <c r="J20">
        <v>600</v>
      </c>
      <c r="K20" s="3">
        <v>197.432</v>
      </c>
      <c r="L20">
        <f t="shared" si="2"/>
        <v>402.568</v>
      </c>
      <c r="N20">
        <v>600</v>
      </c>
      <c r="O20" s="3">
        <v>600</v>
      </c>
      <c r="P20">
        <f t="shared" si="3"/>
        <v>0</v>
      </c>
      <c r="R20">
        <v>600</v>
      </c>
      <c r="S20" s="3">
        <v>600</v>
      </c>
      <c r="T20">
        <f t="shared" si="4"/>
        <v>0</v>
      </c>
    </row>
    <row r="21" spans="1:20">
      <c r="A21" t="s">
        <v>146</v>
      </c>
      <c r="B21">
        <v>600</v>
      </c>
      <c r="C21" s="3">
        <v>0.09614</v>
      </c>
      <c r="D21">
        <f t="shared" si="0"/>
        <v>599.90386</v>
      </c>
      <c r="F21">
        <v>600</v>
      </c>
      <c r="G21" s="3">
        <v>0.093471</v>
      </c>
      <c r="H21">
        <f t="shared" si="1"/>
        <v>599.906529</v>
      </c>
      <c r="J21">
        <v>600</v>
      </c>
      <c r="K21" s="3">
        <v>0.090852</v>
      </c>
      <c r="L21">
        <f t="shared" si="2"/>
        <v>599.909148</v>
      </c>
      <c r="N21">
        <v>600</v>
      </c>
      <c r="O21" s="3">
        <v>0.405017</v>
      </c>
      <c r="P21">
        <f t="shared" si="3"/>
        <v>599.594983</v>
      </c>
      <c r="R21">
        <v>600</v>
      </c>
      <c r="S21" s="3">
        <v>0.374876</v>
      </c>
      <c r="T21">
        <f t="shared" si="4"/>
        <v>599.625124</v>
      </c>
    </row>
    <row r="22" spans="1:20">
      <c r="A22" t="s">
        <v>18</v>
      </c>
      <c r="B22">
        <v>600</v>
      </c>
      <c r="C22" s="3">
        <v>0.151799</v>
      </c>
      <c r="D22">
        <f t="shared" si="0"/>
        <v>599.848201</v>
      </c>
      <c r="F22">
        <v>600</v>
      </c>
      <c r="G22" s="3">
        <v>0.163198</v>
      </c>
      <c r="H22">
        <f t="shared" si="1"/>
        <v>599.836802</v>
      </c>
      <c r="J22">
        <v>600</v>
      </c>
      <c r="K22" s="3">
        <v>0.165284</v>
      </c>
      <c r="L22">
        <f t="shared" si="2"/>
        <v>599.834716</v>
      </c>
      <c r="N22">
        <v>600</v>
      </c>
      <c r="O22" s="3">
        <v>0.162971</v>
      </c>
      <c r="P22">
        <f t="shared" si="3"/>
        <v>599.837029</v>
      </c>
      <c r="R22">
        <v>600</v>
      </c>
      <c r="S22" s="3">
        <v>0.164001</v>
      </c>
      <c r="T22">
        <f t="shared" si="4"/>
        <v>599.835999</v>
      </c>
    </row>
    <row r="23" spans="1:20">
      <c r="A23" t="s">
        <v>136</v>
      </c>
      <c r="B23">
        <v>600</v>
      </c>
      <c r="C23" s="3">
        <v>0.117662</v>
      </c>
      <c r="D23">
        <f t="shared" si="0"/>
        <v>599.882338</v>
      </c>
      <c r="F23">
        <v>600</v>
      </c>
      <c r="G23" s="3">
        <v>0.283433</v>
      </c>
      <c r="H23">
        <f t="shared" si="1"/>
        <v>599.716567</v>
      </c>
      <c r="J23">
        <v>600</v>
      </c>
      <c r="K23" s="3">
        <v>0.242162</v>
      </c>
      <c r="L23">
        <f t="shared" si="2"/>
        <v>599.757838</v>
      </c>
      <c r="N23">
        <v>600</v>
      </c>
      <c r="O23" s="3">
        <v>0.272793</v>
      </c>
      <c r="P23">
        <f t="shared" si="3"/>
        <v>599.727207</v>
      </c>
      <c r="R23">
        <v>600</v>
      </c>
      <c r="S23" s="3">
        <v>0.376417</v>
      </c>
      <c r="T23">
        <f t="shared" si="4"/>
        <v>599.623583</v>
      </c>
    </row>
    <row r="24" spans="1:20">
      <c r="A24" t="s">
        <v>134</v>
      </c>
      <c r="B24">
        <v>600</v>
      </c>
      <c r="C24" s="3">
        <v>4.58534</v>
      </c>
      <c r="D24">
        <f t="shared" si="0"/>
        <v>595.41466</v>
      </c>
      <c r="F24">
        <v>600</v>
      </c>
      <c r="G24" s="3">
        <v>6.67458</v>
      </c>
      <c r="H24">
        <f t="shared" si="1"/>
        <v>593.32542</v>
      </c>
      <c r="J24">
        <v>600</v>
      </c>
      <c r="K24" s="3">
        <v>600</v>
      </c>
      <c r="L24">
        <f t="shared" si="2"/>
        <v>0</v>
      </c>
      <c r="N24">
        <v>600</v>
      </c>
      <c r="O24" s="3">
        <v>600</v>
      </c>
      <c r="P24">
        <f t="shared" si="3"/>
        <v>0</v>
      </c>
      <c r="R24">
        <v>600</v>
      </c>
      <c r="S24" s="3">
        <v>600</v>
      </c>
      <c r="T24">
        <f t="shared" si="4"/>
        <v>0</v>
      </c>
    </row>
    <row r="25" spans="1:20">
      <c r="A25" t="s">
        <v>20</v>
      </c>
      <c r="B25">
        <v>600</v>
      </c>
      <c r="C25" s="3">
        <v>228.37</v>
      </c>
      <c r="D25">
        <f t="shared" si="0"/>
        <v>371.63</v>
      </c>
      <c r="F25">
        <v>600</v>
      </c>
      <c r="G25" s="3">
        <v>480.412</v>
      </c>
      <c r="H25">
        <f t="shared" si="1"/>
        <v>119.588</v>
      </c>
      <c r="J25">
        <v>600</v>
      </c>
      <c r="K25" s="3">
        <v>435.652</v>
      </c>
      <c r="L25">
        <f t="shared" si="2"/>
        <v>164.348</v>
      </c>
      <c r="N25">
        <v>600</v>
      </c>
      <c r="O25" s="3">
        <v>600</v>
      </c>
      <c r="P25">
        <f t="shared" si="3"/>
        <v>0</v>
      </c>
      <c r="R25">
        <v>600</v>
      </c>
      <c r="S25" s="3">
        <v>600</v>
      </c>
      <c r="T25">
        <f t="shared" si="4"/>
        <v>0</v>
      </c>
    </row>
    <row r="26" spans="1:20">
      <c r="A26" t="s">
        <v>21</v>
      </c>
      <c r="B26">
        <v>3.205877</v>
      </c>
      <c r="C26" s="3">
        <v>0.042579</v>
      </c>
      <c r="D26">
        <f t="shared" si="0"/>
        <v>3.163298</v>
      </c>
      <c r="F26">
        <v>36.542929</v>
      </c>
      <c r="G26" s="3">
        <v>0.042418</v>
      </c>
      <c r="H26">
        <f t="shared" si="1"/>
        <v>36.500511</v>
      </c>
      <c r="J26">
        <v>8.957707</v>
      </c>
      <c r="K26" s="3">
        <v>0.046952</v>
      </c>
      <c r="L26">
        <f t="shared" si="2"/>
        <v>8.910755</v>
      </c>
      <c r="N26">
        <v>6.223346</v>
      </c>
      <c r="O26" s="3">
        <v>0.046824</v>
      </c>
      <c r="P26">
        <f t="shared" si="3"/>
        <v>6.176522</v>
      </c>
      <c r="R26">
        <v>600</v>
      </c>
      <c r="S26" s="3">
        <v>0.130304</v>
      </c>
      <c r="T26">
        <f t="shared" si="4"/>
        <v>599.869696</v>
      </c>
    </row>
    <row r="27" s="1" customFormat="1" spans="1:20">
      <c r="A27" s="1" t="s">
        <v>24</v>
      </c>
      <c r="B27" s="1">
        <v>0.010684</v>
      </c>
      <c r="C27" s="3">
        <v>0.216612</v>
      </c>
      <c r="D27">
        <f t="shared" si="0"/>
        <v>-0.205928</v>
      </c>
      <c r="F27" s="1">
        <v>0.011119</v>
      </c>
      <c r="G27" s="3">
        <v>0.221429</v>
      </c>
      <c r="H27">
        <f t="shared" si="1"/>
        <v>-0.21031</v>
      </c>
      <c r="J27" s="1">
        <v>0.011276</v>
      </c>
      <c r="K27" s="3">
        <v>0.215816</v>
      </c>
      <c r="L27">
        <f t="shared" si="2"/>
        <v>-0.20454</v>
      </c>
      <c r="N27" s="1">
        <v>0.008148</v>
      </c>
      <c r="O27" s="3">
        <v>0.216735</v>
      </c>
      <c r="P27">
        <f t="shared" si="3"/>
        <v>-0.208587</v>
      </c>
      <c r="R27" s="1">
        <v>0.007411</v>
      </c>
      <c r="S27" s="3">
        <v>0.217318</v>
      </c>
      <c r="T27">
        <f t="shared" si="4"/>
        <v>-0.209907</v>
      </c>
    </row>
    <row r="28" spans="1:20">
      <c r="A28" t="s">
        <v>25</v>
      </c>
      <c r="B28">
        <v>6.549111</v>
      </c>
      <c r="C28" s="3">
        <v>0.021883</v>
      </c>
      <c r="D28">
        <f t="shared" si="0"/>
        <v>6.527228</v>
      </c>
      <c r="F28">
        <v>7.935836</v>
      </c>
      <c r="G28" s="3">
        <v>0.019257</v>
      </c>
      <c r="H28">
        <f t="shared" si="1"/>
        <v>7.916579</v>
      </c>
      <c r="J28">
        <v>8.989588</v>
      </c>
      <c r="K28" s="3">
        <v>0.026469</v>
      </c>
      <c r="L28">
        <f t="shared" si="2"/>
        <v>8.963119</v>
      </c>
      <c r="N28">
        <v>9.977519</v>
      </c>
      <c r="O28" s="3">
        <v>0.020927</v>
      </c>
      <c r="P28">
        <f t="shared" si="3"/>
        <v>9.956592</v>
      </c>
      <c r="R28">
        <v>11.375027</v>
      </c>
      <c r="S28" s="3">
        <v>0.018935</v>
      </c>
      <c r="T28">
        <f t="shared" si="4"/>
        <v>11.356092</v>
      </c>
    </row>
    <row r="29" spans="1:20">
      <c r="A29" t="s">
        <v>26</v>
      </c>
      <c r="B29">
        <v>16.350155</v>
      </c>
      <c r="C29" s="3">
        <v>0.040264</v>
      </c>
      <c r="D29">
        <f t="shared" si="0"/>
        <v>16.309891</v>
      </c>
      <c r="F29">
        <v>80.897578</v>
      </c>
      <c r="G29" s="3">
        <v>0.038927</v>
      </c>
      <c r="H29">
        <f t="shared" si="1"/>
        <v>80.858651</v>
      </c>
      <c r="J29">
        <v>92.199737</v>
      </c>
      <c r="K29" s="3">
        <v>0.037746</v>
      </c>
      <c r="L29">
        <f t="shared" si="2"/>
        <v>92.161991</v>
      </c>
      <c r="N29">
        <v>104.864186</v>
      </c>
      <c r="O29" s="3">
        <v>0.043371</v>
      </c>
      <c r="P29">
        <f t="shared" si="3"/>
        <v>104.820815</v>
      </c>
      <c r="R29">
        <v>100.684664</v>
      </c>
      <c r="S29" s="3">
        <v>0.039538</v>
      </c>
      <c r="T29">
        <f t="shared" si="4"/>
        <v>100.645126</v>
      </c>
    </row>
    <row r="30" spans="1:20">
      <c r="A30" t="s">
        <v>135</v>
      </c>
      <c r="B30">
        <v>600</v>
      </c>
      <c r="C30" s="3">
        <v>4.52466</v>
      </c>
      <c r="D30">
        <f t="shared" si="0"/>
        <v>595.47534</v>
      </c>
      <c r="F30">
        <v>600</v>
      </c>
      <c r="G30" s="3">
        <v>5.66462</v>
      </c>
      <c r="H30">
        <f t="shared" si="1"/>
        <v>594.33538</v>
      </c>
      <c r="J30">
        <v>600</v>
      </c>
      <c r="K30" s="3">
        <v>78.5069</v>
      </c>
      <c r="L30">
        <f t="shared" si="2"/>
        <v>521.4931</v>
      </c>
      <c r="N30">
        <v>600</v>
      </c>
      <c r="O30" s="3">
        <v>600</v>
      </c>
      <c r="P30">
        <f t="shared" si="3"/>
        <v>0</v>
      </c>
      <c r="R30">
        <v>600</v>
      </c>
      <c r="S30" s="3">
        <v>600</v>
      </c>
      <c r="T30">
        <f t="shared" si="4"/>
        <v>0</v>
      </c>
    </row>
    <row r="31" spans="1:20">
      <c r="A31" t="s">
        <v>75</v>
      </c>
      <c r="B31">
        <v>600</v>
      </c>
      <c r="C31" s="3">
        <v>600</v>
      </c>
      <c r="D31">
        <f t="shared" si="0"/>
        <v>0</v>
      </c>
      <c r="F31">
        <v>600</v>
      </c>
      <c r="G31" s="3">
        <v>600</v>
      </c>
      <c r="H31">
        <f t="shared" si="1"/>
        <v>0</v>
      </c>
      <c r="J31">
        <v>600</v>
      </c>
      <c r="K31" s="3">
        <v>600</v>
      </c>
      <c r="L31">
        <f t="shared" si="2"/>
        <v>0</v>
      </c>
      <c r="N31">
        <v>600</v>
      </c>
      <c r="O31" s="3">
        <v>600</v>
      </c>
      <c r="P31">
        <f t="shared" si="3"/>
        <v>0</v>
      </c>
      <c r="R31">
        <v>600</v>
      </c>
      <c r="S31" s="3">
        <v>600</v>
      </c>
      <c r="T31">
        <f t="shared" si="4"/>
        <v>0</v>
      </c>
    </row>
    <row r="32" spans="1:20">
      <c r="A32" t="s">
        <v>103</v>
      </c>
      <c r="B32">
        <v>600</v>
      </c>
      <c r="C32" s="3">
        <v>1.91511</v>
      </c>
      <c r="D32">
        <f t="shared" si="0"/>
        <v>598.08489</v>
      </c>
      <c r="F32">
        <v>600</v>
      </c>
      <c r="G32" s="3">
        <v>89.1612</v>
      </c>
      <c r="H32">
        <f t="shared" si="1"/>
        <v>510.8388</v>
      </c>
      <c r="J32">
        <v>600</v>
      </c>
      <c r="K32" s="3">
        <v>600</v>
      </c>
      <c r="L32">
        <f t="shared" si="2"/>
        <v>0</v>
      </c>
      <c r="N32">
        <v>600</v>
      </c>
      <c r="O32" s="3">
        <v>533.58</v>
      </c>
      <c r="P32">
        <f t="shared" si="3"/>
        <v>66.42</v>
      </c>
      <c r="R32">
        <v>600</v>
      </c>
      <c r="S32" s="3">
        <v>600</v>
      </c>
      <c r="T32">
        <f t="shared" si="4"/>
        <v>0</v>
      </c>
    </row>
    <row r="33" spans="1:20">
      <c r="A33" t="s">
        <v>154</v>
      </c>
      <c r="B33">
        <v>600</v>
      </c>
      <c r="C33" s="3">
        <v>4.91267</v>
      </c>
      <c r="D33">
        <f t="shared" si="0"/>
        <v>595.08733</v>
      </c>
      <c r="F33">
        <v>600</v>
      </c>
      <c r="G33" s="3">
        <v>6.15436</v>
      </c>
      <c r="H33">
        <f t="shared" si="1"/>
        <v>593.84564</v>
      </c>
      <c r="J33">
        <v>600</v>
      </c>
      <c r="K33" s="3">
        <v>25.1684</v>
      </c>
      <c r="L33">
        <f t="shared" si="2"/>
        <v>574.8316</v>
      </c>
      <c r="N33">
        <v>600</v>
      </c>
      <c r="O33" s="3">
        <v>600</v>
      </c>
      <c r="P33">
        <f t="shared" si="3"/>
        <v>0</v>
      </c>
      <c r="R33">
        <v>600</v>
      </c>
      <c r="S33" s="3">
        <v>600</v>
      </c>
      <c r="T33">
        <f t="shared" si="4"/>
        <v>0</v>
      </c>
    </row>
    <row r="34" spans="1:20">
      <c r="A34" t="s">
        <v>145</v>
      </c>
      <c r="B34">
        <v>600</v>
      </c>
      <c r="C34" s="3">
        <v>355.63</v>
      </c>
      <c r="D34">
        <f t="shared" si="0"/>
        <v>244.37</v>
      </c>
      <c r="F34">
        <v>600</v>
      </c>
      <c r="G34" s="3">
        <v>600</v>
      </c>
      <c r="H34">
        <f t="shared" si="1"/>
        <v>0</v>
      </c>
      <c r="J34">
        <v>600</v>
      </c>
      <c r="K34" s="3">
        <v>600</v>
      </c>
      <c r="L34">
        <f t="shared" si="2"/>
        <v>0</v>
      </c>
      <c r="N34">
        <v>600</v>
      </c>
      <c r="O34" s="3">
        <v>600</v>
      </c>
      <c r="P34">
        <f t="shared" si="3"/>
        <v>0</v>
      </c>
      <c r="R34">
        <v>600</v>
      </c>
      <c r="S34" s="3">
        <v>600</v>
      </c>
      <c r="T34">
        <f t="shared" si="4"/>
        <v>0</v>
      </c>
    </row>
    <row r="35" spans="1:20">
      <c r="A35" t="s">
        <v>133</v>
      </c>
      <c r="B35">
        <v>600</v>
      </c>
      <c r="C35" s="3">
        <v>0.131529</v>
      </c>
      <c r="D35">
        <f t="shared" si="0"/>
        <v>599.868471</v>
      </c>
      <c r="F35">
        <v>600</v>
      </c>
      <c r="G35" s="3">
        <v>0.272543</v>
      </c>
      <c r="H35">
        <f t="shared" si="1"/>
        <v>599.727457</v>
      </c>
      <c r="J35">
        <v>600</v>
      </c>
      <c r="K35" s="3">
        <v>0.570133</v>
      </c>
      <c r="L35">
        <f t="shared" si="2"/>
        <v>599.429867</v>
      </c>
      <c r="N35">
        <v>600</v>
      </c>
      <c r="O35" s="3">
        <v>0.720323</v>
      </c>
      <c r="P35">
        <f t="shared" si="3"/>
        <v>599.279677</v>
      </c>
      <c r="R35">
        <v>600</v>
      </c>
      <c r="S35" s="3">
        <v>2.18565</v>
      </c>
      <c r="T35">
        <f t="shared" si="4"/>
        <v>597.81435</v>
      </c>
    </row>
    <row r="36" spans="1:20">
      <c r="A36" t="s">
        <v>151</v>
      </c>
      <c r="B36">
        <v>600</v>
      </c>
      <c r="C36" s="3">
        <v>0.126222</v>
      </c>
      <c r="D36">
        <f t="shared" si="0"/>
        <v>599.873778</v>
      </c>
      <c r="F36">
        <v>600</v>
      </c>
      <c r="G36" s="3">
        <v>600</v>
      </c>
      <c r="H36">
        <f t="shared" si="1"/>
        <v>0</v>
      </c>
      <c r="J36">
        <v>600</v>
      </c>
      <c r="K36" s="3">
        <v>600</v>
      </c>
      <c r="L36">
        <f t="shared" si="2"/>
        <v>0</v>
      </c>
      <c r="N36">
        <v>600</v>
      </c>
      <c r="O36" s="3">
        <v>600</v>
      </c>
      <c r="P36">
        <f t="shared" si="3"/>
        <v>0</v>
      </c>
      <c r="R36">
        <v>600</v>
      </c>
      <c r="S36" s="3">
        <v>600</v>
      </c>
      <c r="T36">
        <f t="shared" si="4"/>
        <v>0</v>
      </c>
    </row>
    <row r="37" spans="1:20">
      <c r="A37" t="s">
        <v>30</v>
      </c>
      <c r="B37">
        <v>2.041494</v>
      </c>
      <c r="C37" s="3">
        <v>0.038663</v>
      </c>
      <c r="D37">
        <f t="shared" si="0"/>
        <v>2.002831</v>
      </c>
      <c r="F37">
        <v>3.816332</v>
      </c>
      <c r="G37" s="3">
        <v>0.039562</v>
      </c>
      <c r="H37">
        <f t="shared" si="1"/>
        <v>3.77677</v>
      </c>
      <c r="J37">
        <v>1.920534</v>
      </c>
      <c r="K37" s="3">
        <v>0.042785</v>
      </c>
      <c r="L37">
        <f t="shared" si="2"/>
        <v>1.877749</v>
      </c>
      <c r="N37">
        <v>2.883501</v>
      </c>
      <c r="O37" s="3">
        <v>0.137213</v>
      </c>
      <c r="P37">
        <f t="shared" si="3"/>
        <v>2.746288</v>
      </c>
      <c r="R37">
        <v>2.09966</v>
      </c>
      <c r="S37" s="3">
        <v>0.078668</v>
      </c>
      <c r="T37">
        <f t="shared" si="4"/>
        <v>2.020992</v>
      </c>
    </row>
    <row r="38" spans="1:20">
      <c r="A38" t="s">
        <v>33</v>
      </c>
      <c r="B38">
        <v>5.469863</v>
      </c>
      <c r="C38" s="3">
        <v>0.02902</v>
      </c>
      <c r="D38">
        <f t="shared" si="0"/>
        <v>5.440843</v>
      </c>
      <c r="F38">
        <v>12.264616</v>
      </c>
      <c r="G38" s="3">
        <v>0.083919</v>
      </c>
      <c r="H38">
        <f t="shared" si="1"/>
        <v>12.180697</v>
      </c>
      <c r="J38">
        <v>6.583587</v>
      </c>
      <c r="K38" s="3">
        <v>0.063173</v>
      </c>
      <c r="L38">
        <f t="shared" si="2"/>
        <v>6.520414</v>
      </c>
      <c r="N38">
        <v>6.488544</v>
      </c>
      <c r="O38" s="3">
        <v>0.082526</v>
      </c>
      <c r="P38">
        <f t="shared" si="3"/>
        <v>6.406018</v>
      </c>
      <c r="R38">
        <v>5.704189</v>
      </c>
      <c r="S38" s="3">
        <v>0.235872</v>
      </c>
      <c r="T38">
        <f t="shared" si="4"/>
        <v>5.468317</v>
      </c>
    </row>
    <row r="39" spans="1:20">
      <c r="A39" t="s">
        <v>106</v>
      </c>
      <c r="B39">
        <v>600</v>
      </c>
      <c r="C39" s="3">
        <v>0.045855</v>
      </c>
      <c r="D39">
        <f t="shared" si="0"/>
        <v>599.954145</v>
      </c>
      <c r="F39">
        <v>600</v>
      </c>
      <c r="G39" s="3">
        <v>0.200406</v>
      </c>
      <c r="H39">
        <f t="shared" si="1"/>
        <v>599.799594</v>
      </c>
      <c r="J39">
        <v>600</v>
      </c>
      <c r="K39" s="3">
        <v>0.117032</v>
      </c>
      <c r="L39">
        <f t="shared" si="2"/>
        <v>599.882968</v>
      </c>
      <c r="N39">
        <v>600</v>
      </c>
      <c r="O39" s="3">
        <v>2.04893</v>
      </c>
      <c r="P39">
        <f t="shared" si="3"/>
        <v>597.95107</v>
      </c>
      <c r="R39">
        <v>35.498098</v>
      </c>
      <c r="S39" s="3">
        <v>0.69143</v>
      </c>
      <c r="T39">
        <f t="shared" si="4"/>
        <v>34.806668</v>
      </c>
    </row>
    <row r="40" spans="1:20">
      <c r="A40" t="s">
        <v>36</v>
      </c>
      <c r="B40">
        <v>0.112881</v>
      </c>
      <c r="C40" s="3">
        <v>0.016332</v>
      </c>
      <c r="D40">
        <f t="shared" si="0"/>
        <v>0.096549</v>
      </c>
      <c r="F40">
        <v>0.114157</v>
      </c>
      <c r="G40" s="3">
        <v>0.017162</v>
      </c>
      <c r="H40">
        <f t="shared" si="1"/>
        <v>0.096995</v>
      </c>
      <c r="J40">
        <v>0.145365</v>
      </c>
      <c r="K40" s="3">
        <v>0.01601</v>
      </c>
      <c r="L40">
        <f t="shared" si="2"/>
        <v>0.129355</v>
      </c>
      <c r="N40">
        <v>0.854059</v>
      </c>
      <c r="O40" s="3">
        <v>0.012787</v>
      </c>
      <c r="P40">
        <f t="shared" si="3"/>
        <v>0.841272</v>
      </c>
      <c r="R40">
        <v>0.929653</v>
      </c>
      <c r="S40" s="3">
        <v>0.018586</v>
      </c>
      <c r="T40">
        <f t="shared" si="4"/>
        <v>0.911067</v>
      </c>
    </row>
    <row r="41" spans="1:20">
      <c r="A41" t="s">
        <v>38</v>
      </c>
      <c r="B41">
        <v>0.16328</v>
      </c>
      <c r="C41" s="3">
        <v>0.018629</v>
      </c>
      <c r="D41">
        <f t="shared" si="0"/>
        <v>0.144651</v>
      </c>
      <c r="F41">
        <v>0.202552</v>
      </c>
      <c r="G41" s="3">
        <v>0.02376</v>
      </c>
      <c r="H41">
        <f t="shared" si="1"/>
        <v>0.178792</v>
      </c>
      <c r="J41">
        <v>0.22875</v>
      </c>
      <c r="K41" s="3">
        <v>0.013165</v>
      </c>
      <c r="L41">
        <f t="shared" si="2"/>
        <v>0.215585</v>
      </c>
      <c r="N41">
        <v>0.223854</v>
      </c>
      <c r="O41" s="3">
        <v>0.018795</v>
      </c>
      <c r="P41">
        <f t="shared" si="3"/>
        <v>0.205059</v>
      </c>
      <c r="R41">
        <v>0.734175</v>
      </c>
      <c r="S41" s="3">
        <v>0.018154</v>
      </c>
      <c r="T41">
        <f t="shared" si="4"/>
        <v>0.716021</v>
      </c>
    </row>
    <row r="42" spans="1:20">
      <c r="A42" t="s">
        <v>139</v>
      </c>
      <c r="B42">
        <v>600</v>
      </c>
      <c r="C42" s="3">
        <v>172.295</v>
      </c>
      <c r="D42">
        <f t="shared" si="0"/>
        <v>427.705</v>
      </c>
      <c r="F42">
        <v>600</v>
      </c>
      <c r="G42" s="3">
        <v>8.01045</v>
      </c>
      <c r="H42">
        <f t="shared" si="1"/>
        <v>591.98955</v>
      </c>
      <c r="J42">
        <v>600</v>
      </c>
      <c r="K42" s="3">
        <v>600</v>
      </c>
      <c r="L42">
        <f t="shared" si="2"/>
        <v>0</v>
      </c>
      <c r="N42">
        <v>600</v>
      </c>
      <c r="O42" s="3">
        <v>600</v>
      </c>
      <c r="P42">
        <f t="shared" si="3"/>
        <v>0</v>
      </c>
      <c r="R42">
        <v>600</v>
      </c>
      <c r="S42" s="3">
        <v>600</v>
      </c>
      <c r="T42">
        <f t="shared" si="4"/>
        <v>0</v>
      </c>
    </row>
    <row r="43" s="1" customFormat="1" spans="1:20">
      <c r="A43" s="1" t="s">
        <v>39</v>
      </c>
      <c r="B43" s="1">
        <v>0.039061</v>
      </c>
      <c r="C43" s="3">
        <v>0.007857</v>
      </c>
      <c r="D43">
        <f t="shared" si="0"/>
        <v>0.031204</v>
      </c>
      <c r="F43" s="1">
        <v>0.036912</v>
      </c>
      <c r="G43" s="3">
        <v>0.011733</v>
      </c>
      <c r="H43">
        <f t="shared" si="1"/>
        <v>0.025179</v>
      </c>
      <c r="J43" s="1">
        <v>0.03938</v>
      </c>
      <c r="K43" s="3">
        <v>0.009547</v>
      </c>
      <c r="L43">
        <f t="shared" si="2"/>
        <v>0.029833</v>
      </c>
      <c r="N43" s="1">
        <v>0.039835</v>
      </c>
      <c r="O43" s="3">
        <v>0.01266</v>
      </c>
      <c r="P43">
        <f t="shared" si="3"/>
        <v>0.027175</v>
      </c>
      <c r="R43" s="1">
        <v>0.038624</v>
      </c>
      <c r="S43" s="3">
        <v>0.009608</v>
      </c>
      <c r="T43">
        <f t="shared" si="4"/>
        <v>0.029016</v>
      </c>
    </row>
    <row r="44" s="1" customFormat="1" spans="1:20">
      <c r="A44" s="1" t="s">
        <v>40</v>
      </c>
      <c r="B44" s="1">
        <v>0.022713</v>
      </c>
      <c r="C44" s="3">
        <v>0.012298</v>
      </c>
      <c r="D44">
        <f t="shared" si="0"/>
        <v>0.010415</v>
      </c>
      <c r="F44" s="1">
        <v>0.019708</v>
      </c>
      <c r="G44" s="3">
        <v>0.00932</v>
      </c>
      <c r="H44">
        <f t="shared" si="1"/>
        <v>0.010388</v>
      </c>
      <c r="J44" s="1">
        <v>0.021619</v>
      </c>
      <c r="K44" s="3">
        <v>0.008124</v>
      </c>
      <c r="L44">
        <f t="shared" si="2"/>
        <v>0.013495</v>
      </c>
      <c r="N44" s="1">
        <v>0.02424</v>
      </c>
      <c r="O44" s="3">
        <v>0.008336</v>
      </c>
      <c r="P44">
        <f t="shared" si="3"/>
        <v>0.015904</v>
      </c>
      <c r="R44" s="1">
        <v>0.017727</v>
      </c>
      <c r="S44" s="3">
        <v>0.009952</v>
      </c>
      <c r="T44">
        <f t="shared" si="4"/>
        <v>0.007775</v>
      </c>
    </row>
    <row r="45" spans="1:20">
      <c r="A45" t="s">
        <v>41</v>
      </c>
      <c r="B45">
        <v>0.007968</v>
      </c>
      <c r="C45" s="3">
        <v>0.012304</v>
      </c>
      <c r="D45">
        <f t="shared" si="0"/>
        <v>-0.004336</v>
      </c>
      <c r="F45">
        <v>0.10856</v>
      </c>
      <c r="G45" s="3">
        <v>0.010277</v>
      </c>
      <c r="H45">
        <f t="shared" si="1"/>
        <v>0.098283</v>
      </c>
      <c r="J45">
        <v>0.109071</v>
      </c>
      <c r="K45" s="3">
        <v>0.010355</v>
      </c>
      <c r="L45">
        <f t="shared" si="2"/>
        <v>0.098716</v>
      </c>
      <c r="N45">
        <v>0.109685</v>
      </c>
      <c r="O45" s="3">
        <v>0.012458</v>
      </c>
      <c r="P45">
        <f t="shared" si="3"/>
        <v>0.097227</v>
      </c>
      <c r="R45">
        <v>0.110938</v>
      </c>
      <c r="S45" s="3">
        <v>0.011472</v>
      </c>
      <c r="T45">
        <f t="shared" si="4"/>
        <v>0.099466</v>
      </c>
    </row>
    <row r="46" spans="1:20">
      <c r="A46" t="s">
        <v>148</v>
      </c>
      <c r="B46">
        <v>600</v>
      </c>
      <c r="C46" s="3">
        <v>0.21743</v>
      </c>
      <c r="D46">
        <f t="shared" si="0"/>
        <v>599.78257</v>
      </c>
      <c r="F46">
        <v>600</v>
      </c>
      <c r="G46" s="3">
        <v>600</v>
      </c>
      <c r="H46">
        <f t="shared" si="1"/>
        <v>0</v>
      </c>
      <c r="J46">
        <v>600</v>
      </c>
      <c r="K46" s="3">
        <v>600</v>
      </c>
      <c r="L46">
        <f t="shared" si="2"/>
        <v>0</v>
      </c>
      <c r="N46">
        <v>600</v>
      </c>
      <c r="O46" s="3">
        <v>600</v>
      </c>
      <c r="P46">
        <f t="shared" si="3"/>
        <v>0</v>
      </c>
      <c r="R46">
        <v>600</v>
      </c>
      <c r="S46" s="3">
        <v>600</v>
      </c>
      <c r="T46">
        <f t="shared" si="4"/>
        <v>0</v>
      </c>
    </row>
    <row r="47" spans="1:20">
      <c r="A47" t="s">
        <v>42</v>
      </c>
      <c r="B47">
        <v>0.068872</v>
      </c>
      <c r="C47" s="3">
        <v>0.012233</v>
      </c>
      <c r="D47">
        <f t="shared" si="0"/>
        <v>0.056639</v>
      </c>
      <c r="F47">
        <v>0.042125</v>
      </c>
      <c r="G47" s="3">
        <v>0.012147</v>
      </c>
      <c r="H47">
        <f t="shared" si="1"/>
        <v>0.029978</v>
      </c>
      <c r="J47">
        <v>0.041704</v>
      </c>
      <c r="K47" s="3">
        <v>0.010943</v>
      </c>
      <c r="L47">
        <f t="shared" si="2"/>
        <v>0.030761</v>
      </c>
      <c r="N47">
        <v>0.189444</v>
      </c>
      <c r="O47" s="3">
        <v>0.027865</v>
      </c>
      <c r="P47">
        <f t="shared" si="3"/>
        <v>0.161579</v>
      </c>
      <c r="R47">
        <v>0.192865</v>
      </c>
      <c r="S47" s="3">
        <v>0.016672</v>
      </c>
      <c r="T47">
        <f t="shared" si="4"/>
        <v>0.176193</v>
      </c>
    </row>
    <row r="48" s="1" customFormat="1" spans="1:20">
      <c r="A48" s="1" t="s">
        <v>43</v>
      </c>
      <c r="B48" s="1">
        <v>0.020474</v>
      </c>
      <c r="C48" s="3">
        <v>0.008947</v>
      </c>
      <c r="D48">
        <f t="shared" si="0"/>
        <v>0.011527</v>
      </c>
      <c r="F48" s="1">
        <v>0.024501</v>
      </c>
      <c r="G48" s="3">
        <v>0.009616</v>
      </c>
      <c r="H48">
        <f t="shared" si="1"/>
        <v>0.014885</v>
      </c>
      <c r="J48" s="1">
        <v>0.020361</v>
      </c>
      <c r="K48" s="3">
        <v>0.007891</v>
      </c>
      <c r="L48">
        <f t="shared" si="2"/>
        <v>0.01247</v>
      </c>
      <c r="N48" s="1">
        <v>0.020106</v>
      </c>
      <c r="O48" s="3">
        <v>0.00658</v>
      </c>
      <c r="P48">
        <f t="shared" si="3"/>
        <v>0.013526</v>
      </c>
      <c r="R48" s="1">
        <v>0.046961</v>
      </c>
      <c r="S48" s="3">
        <v>0.012398</v>
      </c>
      <c r="T48">
        <f t="shared" si="4"/>
        <v>0.034563</v>
      </c>
    </row>
    <row r="49" spans="1:20">
      <c r="A49" t="s">
        <v>44</v>
      </c>
      <c r="B49">
        <v>0.079443</v>
      </c>
      <c r="C49" s="3">
        <v>0.008764</v>
      </c>
      <c r="D49">
        <f t="shared" si="0"/>
        <v>0.070679</v>
      </c>
      <c r="F49">
        <v>0.355422</v>
      </c>
      <c r="G49" s="3">
        <v>0.011862</v>
      </c>
      <c r="H49">
        <f t="shared" si="1"/>
        <v>0.34356</v>
      </c>
      <c r="J49">
        <v>0.397269</v>
      </c>
      <c r="K49" s="3">
        <v>0.011785</v>
      </c>
      <c r="L49">
        <f t="shared" si="2"/>
        <v>0.385484</v>
      </c>
      <c r="N49">
        <v>0.383386</v>
      </c>
      <c r="O49" s="3">
        <v>0.015523</v>
      </c>
      <c r="P49">
        <f t="shared" si="3"/>
        <v>0.367863</v>
      </c>
      <c r="R49">
        <v>0.334333</v>
      </c>
      <c r="S49" s="3">
        <v>0.014323</v>
      </c>
      <c r="T49">
        <f t="shared" si="4"/>
        <v>0.32001</v>
      </c>
    </row>
    <row r="50" spans="1:20">
      <c r="A50" t="s">
        <v>121</v>
      </c>
      <c r="B50">
        <v>600</v>
      </c>
      <c r="C50" s="3">
        <v>9.93738</v>
      </c>
      <c r="D50">
        <f t="shared" si="0"/>
        <v>590.06262</v>
      </c>
      <c r="F50">
        <v>600</v>
      </c>
      <c r="G50" s="3">
        <v>99.1068</v>
      </c>
      <c r="H50">
        <f t="shared" si="1"/>
        <v>500.8932</v>
      </c>
      <c r="J50">
        <v>600</v>
      </c>
      <c r="K50" s="3">
        <v>600</v>
      </c>
      <c r="L50">
        <f t="shared" si="2"/>
        <v>0</v>
      </c>
      <c r="N50">
        <v>600</v>
      </c>
      <c r="O50" s="3">
        <v>600</v>
      </c>
      <c r="P50">
        <f t="shared" si="3"/>
        <v>0</v>
      </c>
      <c r="R50">
        <v>600</v>
      </c>
      <c r="S50" s="3">
        <v>600</v>
      </c>
      <c r="T50">
        <f t="shared" si="4"/>
        <v>0</v>
      </c>
    </row>
    <row r="51" spans="1:20">
      <c r="A51" t="s">
        <v>45</v>
      </c>
      <c r="B51">
        <v>1.081938</v>
      </c>
      <c r="C51" s="3">
        <v>0.035377</v>
      </c>
      <c r="D51">
        <f t="shared" si="0"/>
        <v>1.046561</v>
      </c>
      <c r="F51">
        <v>1.222842</v>
      </c>
      <c r="G51" s="3">
        <v>0.057007</v>
      </c>
      <c r="H51">
        <f t="shared" si="1"/>
        <v>1.165835</v>
      </c>
      <c r="J51">
        <v>1.213508</v>
      </c>
      <c r="K51" s="3">
        <v>0.036043</v>
      </c>
      <c r="L51">
        <f t="shared" si="2"/>
        <v>1.177465</v>
      </c>
      <c r="N51">
        <v>0.869146</v>
      </c>
      <c r="O51" s="3">
        <v>0.038212</v>
      </c>
      <c r="P51">
        <f t="shared" si="3"/>
        <v>0.830934</v>
      </c>
      <c r="R51">
        <v>0.959957</v>
      </c>
      <c r="S51" s="3">
        <v>0.039484</v>
      </c>
      <c r="T51">
        <f t="shared" si="4"/>
        <v>0.920473</v>
      </c>
    </row>
    <row r="52" spans="1:20">
      <c r="A52" t="s">
        <v>47</v>
      </c>
      <c r="B52">
        <v>0.02187</v>
      </c>
      <c r="C52" s="3">
        <v>0.010873</v>
      </c>
      <c r="D52">
        <f t="shared" si="0"/>
        <v>0.010997</v>
      </c>
      <c r="F52">
        <v>0.021523</v>
      </c>
      <c r="G52" s="3">
        <v>0.005899</v>
      </c>
      <c r="H52">
        <f t="shared" si="1"/>
        <v>0.015624</v>
      </c>
      <c r="J52">
        <v>0.018673</v>
      </c>
      <c r="K52" s="3">
        <v>0.010953</v>
      </c>
      <c r="L52">
        <f t="shared" si="2"/>
        <v>0.00772</v>
      </c>
      <c r="N52">
        <v>0.018878</v>
      </c>
      <c r="O52" s="3">
        <v>0.011996</v>
      </c>
      <c r="P52">
        <f t="shared" si="3"/>
        <v>0.006882</v>
      </c>
      <c r="R52">
        <v>0.018791</v>
      </c>
      <c r="S52" s="3">
        <v>0.011216</v>
      </c>
      <c r="T52">
        <f t="shared" si="4"/>
        <v>0.007575</v>
      </c>
    </row>
    <row r="53" spans="1:20">
      <c r="A53" t="s">
        <v>48</v>
      </c>
      <c r="B53">
        <v>1.761741</v>
      </c>
      <c r="C53" s="3">
        <v>0.018082</v>
      </c>
      <c r="D53">
        <f t="shared" si="0"/>
        <v>1.743659</v>
      </c>
      <c r="F53">
        <v>2.407074</v>
      </c>
      <c r="G53" s="3">
        <v>0.018813</v>
      </c>
      <c r="H53">
        <f t="shared" si="1"/>
        <v>2.388261</v>
      </c>
      <c r="J53">
        <v>2.834161</v>
      </c>
      <c r="K53" s="3">
        <v>0.02053</v>
      </c>
      <c r="L53">
        <f t="shared" si="2"/>
        <v>2.813631</v>
      </c>
      <c r="N53">
        <v>2.916685</v>
      </c>
      <c r="O53" s="3">
        <v>0.012545</v>
      </c>
      <c r="P53">
        <f t="shared" si="3"/>
        <v>2.90414</v>
      </c>
      <c r="R53">
        <v>3.306367</v>
      </c>
      <c r="S53" s="3">
        <v>0.015287</v>
      </c>
      <c r="T53">
        <f t="shared" si="4"/>
        <v>3.29108</v>
      </c>
    </row>
    <row r="54" spans="1:20">
      <c r="A54" t="s">
        <v>152</v>
      </c>
      <c r="B54">
        <v>600</v>
      </c>
      <c r="C54" s="3">
        <v>0.197622</v>
      </c>
      <c r="D54">
        <f t="shared" si="0"/>
        <v>599.802378</v>
      </c>
      <c r="F54">
        <v>600</v>
      </c>
      <c r="G54" s="3">
        <v>0.869066</v>
      </c>
      <c r="H54">
        <f t="shared" si="1"/>
        <v>599.130934</v>
      </c>
      <c r="J54">
        <v>600</v>
      </c>
      <c r="K54" s="3">
        <v>16.2156</v>
      </c>
      <c r="L54">
        <f t="shared" si="2"/>
        <v>583.7844</v>
      </c>
      <c r="N54">
        <v>600</v>
      </c>
      <c r="O54" s="3">
        <v>76.7038</v>
      </c>
      <c r="P54">
        <f t="shared" si="3"/>
        <v>523.2962</v>
      </c>
      <c r="R54">
        <v>600</v>
      </c>
      <c r="S54" s="3">
        <v>600</v>
      </c>
      <c r="T54">
        <f t="shared" si="4"/>
        <v>0</v>
      </c>
    </row>
    <row r="55" spans="1:20">
      <c r="A55" t="s">
        <v>49</v>
      </c>
      <c r="B55">
        <v>0.113492</v>
      </c>
      <c r="C55" s="3">
        <v>0.0087</v>
      </c>
      <c r="D55">
        <f t="shared" si="0"/>
        <v>0.104792</v>
      </c>
      <c r="F55">
        <v>0.110951</v>
      </c>
      <c r="G55" s="3">
        <v>0.013687</v>
      </c>
      <c r="H55">
        <f t="shared" si="1"/>
        <v>0.097264</v>
      </c>
      <c r="J55">
        <v>0.074219</v>
      </c>
      <c r="K55" s="3">
        <v>0.011787</v>
      </c>
      <c r="L55">
        <f t="shared" si="2"/>
        <v>0.062432</v>
      </c>
      <c r="N55">
        <v>0.076766</v>
      </c>
      <c r="O55" s="3">
        <v>0.009201</v>
      </c>
      <c r="P55">
        <f t="shared" si="3"/>
        <v>0.067565</v>
      </c>
      <c r="R55">
        <v>0.07778</v>
      </c>
      <c r="S55" s="3">
        <v>0.011683</v>
      </c>
      <c r="T55">
        <f t="shared" si="4"/>
        <v>0.066097</v>
      </c>
    </row>
    <row r="56" spans="1:20">
      <c r="A56" t="s">
        <v>114</v>
      </c>
      <c r="B56">
        <v>600</v>
      </c>
      <c r="C56" s="3">
        <v>0.073893</v>
      </c>
      <c r="D56">
        <f t="shared" si="0"/>
        <v>599.926107</v>
      </c>
      <c r="F56">
        <v>600</v>
      </c>
      <c r="G56" s="3">
        <v>0.287717</v>
      </c>
      <c r="H56">
        <f t="shared" si="1"/>
        <v>599.712283</v>
      </c>
      <c r="J56">
        <v>600</v>
      </c>
      <c r="K56" s="3">
        <v>0.16102</v>
      </c>
      <c r="L56">
        <f t="shared" si="2"/>
        <v>599.83898</v>
      </c>
      <c r="N56">
        <v>600</v>
      </c>
      <c r="O56" s="3">
        <v>174.924</v>
      </c>
      <c r="P56">
        <f t="shared" si="3"/>
        <v>425.076</v>
      </c>
      <c r="R56">
        <v>600</v>
      </c>
      <c r="S56" s="3">
        <v>600</v>
      </c>
      <c r="T56">
        <f t="shared" si="4"/>
        <v>0</v>
      </c>
    </row>
    <row r="57" spans="1:20">
      <c r="A57" t="s">
        <v>50</v>
      </c>
      <c r="B57">
        <v>0.010874</v>
      </c>
      <c r="C57" s="3">
        <v>0.015933</v>
      </c>
      <c r="D57">
        <f t="shared" si="0"/>
        <v>-0.005059</v>
      </c>
      <c r="F57">
        <v>0.157469</v>
      </c>
      <c r="G57" s="3">
        <v>0.012864</v>
      </c>
      <c r="H57">
        <f t="shared" si="1"/>
        <v>0.144605</v>
      </c>
      <c r="J57">
        <v>0.160866</v>
      </c>
      <c r="K57" s="3">
        <v>0.01018</v>
      </c>
      <c r="L57">
        <f t="shared" si="2"/>
        <v>0.150686</v>
      </c>
      <c r="N57">
        <v>0.158362</v>
      </c>
      <c r="O57" s="3">
        <v>0.010102</v>
      </c>
      <c r="P57">
        <f t="shared" si="3"/>
        <v>0.14826</v>
      </c>
      <c r="R57">
        <v>0.157261</v>
      </c>
      <c r="S57" s="3">
        <v>0.010058</v>
      </c>
      <c r="T57">
        <f t="shared" si="4"/>
        <v>0.147203</v>
      </c>
    </row>
    <row r="58" spans="1:20">
      <c r="A58" t="s">
        <v>51</v>
      </c>
      <c r="B58">
        <v>0.066082</v>
      </c>
      <c r="C58" s="3">
        <v>0.013849</v>
      </c>
      <c r="D58">
        <f t="shared" si="0"/>
        <v>0.052233</v>
      </c>
      <c r="F58">
        <v>0.064108</v>
      </c>
      <c r="G58" s="3">
        <v>0.011787</v>
      </c>
      <c r="H58">
        <f t="shared" si="1"/>
        <v>0.052321</v>
      </c>
      <c r="J58">
        <v>0.061083</v>
      </c>
      <c r="K58" s="3">
        <v>0.010555</v>
      </c>
      <c r="L58">
        <f t="shared" si="2"/>
        <v>0.050528</v>
      </c>
      <c r="N58">
        <v>0.058863</v>
      </c>
      <c r="O58" s="3">
        <v>0.010005</v>
      </c>
      <c r="P58">
        <f t="shared" si="3"/>
        <v>0.048858</v>
      </c>
      <c r="R58">
        <v>0.059876</v>
      </c>
      <c r="S58" s="3">
        <v>0.009842</v>
      </c>
      <c r="T58">
        <f t="shared" si="4"/>
        <v>0.050034</v>
      </c>
    </row>
    <row r="59" spans="1:20">
      <c r="A59" t="s">
        <v>52</v>
      </c>
      <c r="B59">
        <v>1.994681</v>
      </c>
      <c r="C59" s="3">
        <v>0.038221</v>
      </c>
      <c r="D59">
        <f t="shared" si="0"/>
        <v>1.95646</v>
      </c>
      <c r="F59">
        <v>3.509771</v>
      </c>
      <c r="G59" s="3">
        <v>0.092905</v>
      </c>
      <c r="H59">
        <f t="shared" si="1"/>
        <v>3.416866</v>
      </c>
      <c r="J59">
        <v>5.308609</v>
      </c>
      <c r="K59" s="3">
        <v>0.050103</v>
      </c>
      <c r="L59">
        <f t="shared" si="2"/>
        <v>5.258506</v>
      </c>
      <c r="N59">
        <v>3.236625</v>
      </c>
      <c r="O59" s="3">
        <v>0.134206</v>
      </c>
      <c r="P59">
        <f t="shared" si="3"/>
        <v>3.102419</v>
      </c>
      <c r="R59">
        <v>2.831951</v>
      </c>
      <c r="S59" s="3">
        <v>0.12597</v>
      </c>
      <c r="T59">
        <f t="shared" si="4"/>
        <v>2.705981</v>
      </c>
    </row>
    <row r="60" spans="1:20">
      <c r="A60" t="s">
        <v>55</v>
      </c>
      <c r="B60">
        <v>0.019341</v>
      </c>
      <c r="C60" s="3">
        <v>0.013933</v>
      </c>
      <c r="D60">
        <f t="shared" si="0"/>
        <v>0.005408</v>
      </c>
      <c r="F60">
        <v>0.247647</v>
      </c>
      <c r="G60" s="3">
        <v>0.015213</v>
      </c>
      <c r="H60">
        <f t="shared" si="1"/>
        <v>0.232434</v>
      </c>
      <c r="J60">
        <v>0.202808</v>
      </c>
      <c r="K60" s="3">
        <v>0.010709</v>
      </c>
      <c r="L60">
        <f t="shared" si="2"/>
        <v>0.192099</v>
      </c>
      <c r="N60">
        <v>0.201317</v>
      </c>
      <c r="O60" s="3">
        <v>0.011992</v>
      </c>
      <c r="P60">
        <f t="shared" si="3"/>
        <v>0.189325</v>
      </c>
      <c r="R60">
        <v>0.204354</v>
      </c>
      <c r="S60" s="3">
        <v>0.013329</v>
      </c>
      <c r="T60">
        <f t="shared" si="4"/>
        <v>0.191025</v>
      </c>
    </row>
    <row r="61" spans="1:20">
      <c r="A61" t="s">
        <v>56</v>
      </c>
      <c r="B61">
        <v>0.036966</v>
      </c>
      <c r="C61" s="3">
        <v>0.012223</v>
      </c>
      <c r="D61">
        <f t="shared" si="0"/>
        <v>0.024743</v>
      </c>
      <c r="F61">
        <v>0.036056</v>
      </c>
      <c r="G61" s="3">
        <v>0.011706</v>
      </c>
      <c r="H61">
        <f t="shared" si="1"/>
        <v>0.02435</v>
      </c>
      <c r="J61">
        <v>0.040894</v>
      </c>
      <c r="K61" s="3">
        <v>0.011671</v>
      </c>
      <c r="L61">
        <f t="shared" si="2"/>
        <v>0.029223</v>
      </c>
      <c r="N61">
        <v>0.037629</v>
      </c>
      <c r="O61" s="3">
        <v>0.011555</v>
      </c>
      <c r="P61">
        <f t="shared" si="3"/>
        <v>0.026074</v>
      </c>
      <c r="R61">
        <v>0.04498</v>
      </c>
      <c r="S61" s="3">
        <v>0.01024</v>
      </c>
      <c r="T61">
        <f t="shared" si="4"/>
        <v>0.03474</v>
      </c>
    </row>
    <row r="62" spans="1:20">
      <c r="A62" t="s">
        <v>57</v>
      </c>
      <c r="B62">
        <v>0.090635</v>
      </c>
      <c r="C62" s="3">
        <v>0.012828</v>
      </c>
      <c r="D62">
        <f t="shared" si="0"/>
        <v>0.077807</v>
      </c>
      <c r="F62">
        <v>0.087489</v>
      </c>
      <c r="G62" s="3">
        <v>0.011587</v>
      </c>
      <c r="H62">
        <f t="shared" si="1"/>
        <v>0.075902</v>
      </c>
      <c r="J62">
        <v>0.088065</v>
      </c>
      <c r="K62" s="3">
        <v>0.011385</v>
      </c>
      <c r="L62">
        <f t="shared" si="2"/>
        <v>0.07668</v>
      </c>
      <c r="N62">
        <v>0.089194</v>
      </c>
      <c r="O62" s="3">
        <v>0.011709</v>
      </c>
      <c r="P62">
        <f t="shared" si="3"/>
        <v>0.077485</v>
      </c>
      <c r="R62">
        <v>0.085619</v>
      </c>
      <c r="S62" s="3">
        <v>0.010296</v>
      </c>
      <c r="T62">
        <f t="shared" si="4"/>
        <v>0.075323</v>
      </c>
    </row>
    <row r="63" spans="1:20">
      <c r="A63" t="s">
        <v>58</v>
      </c>
      <c r="B63">
        <v>0.020556</v>
      </c>
      <c r="C63" s="3">
        <v>0.01129</v>
      </c>
      <c r="D63">
        <f t="shared" si="0"/>
        <v>0.009266</v>
      </c>
      <c r="F63">
        <v>0.022041</v>
      </c>
      <c r="G63" s="3">
        <v>0.009686</v>
      </c>
      <c r="H63">
        <f t="shared" si="1"/>
        <v>0.012355</v>
      </c>
      <c r="J63">
        <v>0.018214</v>
      </c>
      <c r="K63" s="3">
        <v>0.010505</v>
      </c>
      <c r="L63">
        <f t="shared" si="2"/>
        <v>0.007709</v>
      </c>
      <c r="N63">
        <v>0.021297</v>
      </c>
      <c r="O63" s="3">
        <v>0.00987</v>
      </c>
      <c r="P63">
        <f t="shared" si="3"/>
        <v>0.011427</v>
      </c>
      <c r="R63">
        <v>0.022835</v>
      </c>
      <c r="S63" s="3">
        <v>0.010762</v>
      </c>
      <c r="T63">
        <f t="shared" si="4"/>
        <v>0.012073</v>
      </c>
    </row>
    <row r="64" spans="1:20">
      <c r="A64" t="s">
        <v>59</v>
      </c>
      <c r="B64">
        <v>600</v>
      </c>
      <c r="C64" s="3">
        <v>600</v>
      </c>
      <c r="D64">
        <f t="shared" si="0"/>
        <v>0</v>
      </c>
      <c r="F64">
        <v>600</v>
      </c>
      <c r="G64" s="3">
        <v>600</v>
      </c>
      <c r="H64">
        <f t="shared" si="1"/>
        <v>0</v>
      </c>
      <c r="J64">
        <v>600</v>
      </c>
      <c r="K64" s="3">
        <v>600</v>
      </c>
      <c r="L64">
        <f t="shared" si="2"/>
        <v>0</v>
      </c>
      <c r="N64">
        <v>600</v>
      </c>
      <c r="O64" s="3">
        <v>600</v>
      </c>
      <c r="P64">
        <f t="shared" si="3"/>
        <v>0</v>
      </c>
      <c r="R64">
        <v>600</v>
      </c>
      <c r="S64" s="3">
        <v>600</v>
      </c>
      <c r="T64">
        <f t="shared" si="4"/>
        <v>0</v>
      </c>
    </row>
    <row r="65" spans="1:20">
      <c r="A65" t="s">
        <v>60</v>
      </c>
      <c r="B65">
        <v>600</v>
      </c>
      <c r="C65" s="3">
        <v>12.1697</v>
      </c>
      <c r="D65">
        <f t="shared" si="0"/>
        <v>587.8303</v>
      </c>
      <c r="F65">
        <v>600</v>
      </c>
      <c r="G65" s="3">
        <v>21.4836</v>
      </c>
      <c r="H65">
        <f t="shared" si="1"/>
        <v>578.5164</v>
      </c>
      <c r="J65">
        <v>600</v>
      </c>
      <c r="K65" s="3">
        <v>600</v>
      </c>
      <c r="L65">
        <f t="shared" si="2"/>
        <v>0</v>
      </c>
      <c r="N65">
        <v>600</v>
      </c>
      <c r="O65" s="3">
        <v>600</v>
      </c>
      <c r="P65">
        <f t="shared" si="3"/>
        <v>0</v>
      </c>
      <c r="R65">
        <v>600</v>
      </c>
      <c r="S65" s="3">
        <v>600</v>
      </c>
      <c r="T65">
        <f t="shared" si="4"/>
        <v>0</v>
      </c>
    </row>
    <row r="66" spans="1:20">
      <c r="A66" t="s">
        <v>61</v>
      </c>
      <c r="B66">
        <v>5.72027</v>
      </c>
      <c r="C66" s="3">
        <v>0.024097</v>
      </c>
      <c r="D66">
        <f t="shared" si="0"/>
        <v>5.696173</v>
      </c>
      <c r="F66">
        <v>20.411143</v>
      </c>
      <c r="G66" s="3">
        <v>0.023859</v>
      </c>
      <c r="H66">
        <f t="shared" si="1"/>
        <v>20.387284</v>
      </c>
      <c r="J66">
        <v>22.891811</v>
      </c>
      <c r="K66" s="3">
        <v>0.03999</v>
      </c>
      <c r="L66">
        <f t="shared" si="2"/>
        <v>22.851821</v>
      </c>
      <c r="N66">
        <v>17.513802</v>
      </c>
      <c r="O66" s="3">
        <v>0.057087</v>
      </c>
      <c r="P66">
        <f t="shared" si="3"/>
        <v>17.456715</v>
      </c>
      <c r="R66">
        <v>23.74667</v>
      </c>
      <c r="S66" s="3">
        <v>0.062695</v>
      </c>
      <c r="T66">
        <f t="shared" si="4"/>
        <v>23.683975</v>
      </c>
    </row>
    <row r="67" spans="1:20">
      <c r="A67" t="s">
        <v>109</v>
      </c>
      <c r="B67">
        <v>600</v>
      </c>
      <c r="C67" s="3">
        <v>1.34998</v>
      </c>
      <c r="D67">
        <f t="shared" si="0"/>
        <v>598.65002</v>
      </c>
      <c r="F67">
        <v>600</v>
      </c>
      <c r="G67" s="3">
        <v>3.98671</v>
      </c>
      <c r="H67">
        <f t="shared" si="1"/>
        <v>596.01329</v>
      </c>
      <c r="J67">
        <v>600</v>
      </c>
      <c r="K67" s="3">
        <v>11.6511</v>
      </c>
      <c r="L67">
        <f t="shared" si="2"/>
        <v>588.3489</v>
      </c>
      <c r="N67">
        <v>600</v>
      </c>
      <c r="O67" s="3">
        <v>78.473</v>
      </c>
      <c r="P67">
        <f t="shared" si="3"/>
        <v>521.527</v>
      </c>
      <c r="R67">
        <v>39.931805</v>
      </c>
      <c r="S67" s="3">
        <v>162.057</v>
      </c>
      <c r="T67">
        <f t="shared" si="4"/>
        <v>-122.125195</v>
      </c>
    </row>
    <row r="68" spans="1:20">
      <c r="A68" t="s">
        <v>128</v>
      </c>
      <c r="B68">
        <v>600</v>
      </c>
      <c r="C68" s="3">
        <v>102.869</v>
      </c>
      <c r="D68">
        <f t="shared" si="0"/>
        <v>497.131</v>
      </c>
      <c r="F68">
        <v>600</v>
      </c>
      <c r="G68" s="3">
        <v>213.536</v>
      </c>
      <c r="H68">
        <f t="shared" si="1"/>
        <v>386.464</v>
      </c>
      <c r="J68">
        <v>600</v>
      </c>
      <c r="K68" s="3">
        <v>409.994</v>
      </c>
      <c r="L68">
        <f t="shared" si="2"/>
        <v>190.006</v>
      </c>
      <c r="N68">
        <v>600</v>
      </c>
      <c r="O68" s="3">
        <v>600</v>
      </c>
      <c r="P68">
        <f t="shared" si="3"/>
        <v>0</v>
      </c>
      <c r="R68">
        <v>600</v>
      </c>
      <c r="S68" s="3">
        <v>600</v>
      </c>
      <c r="T68">
        <f t="shared" si="4"/>
        <v>0</v>
      </c>
    </row>
    <row r="69" spans="1:20">
      <c r="A69" t="s">
        <v>153</v>
      </c>
      <c r="B69">
        <v>600</v>
      </c>
      <c r="C69" s="3">
        <v>58.3561</v>
      </c>
      <c r="D69">
        <f t="shared" ref="D69:D82" si="5">B69-C69</f>
        <v>541.6439</v>
      </c>
      <c r="F69">
        <v>600</v>
      </c>
      <c r="G69" s="3">
        <v>49.8072</v>
      </c>
      <c r="H69">
        <f t="shared" ref="H69:H82" si="6">F69-G69</f>
        <v>550.1928</v>
      </c>
      <c r="J69">
        <v>600</v>
      </c>
      <c r="K69" s="3">
        <v>297.366</v>
      </c>
      <c r="L69">
        <f t="shared" ref="L69:L82" si="7">J69-K69</f>
        <v>302.634</v>
      </c>
      <c r="N69">
        <v>600</v>
      </c>
      <c r="O69" s="3">
        <v>556.174</v>
      </c>
      <c r="P69">
        <f t="shared" ref="P69:P82" si="8">N69-O69</f>
        <v>43.826</v>
      </c>
      <c r="R69">
        <v>600</v>
      </c>
      <c r="S69" s="3">
        <v>600</v>
      </c>
      <c r="T69">
        <f t="shared" ref="T69:T82" si="9">R69-S69</f>
        <v>0</v>
      </c>
    </row>
    <row r="70" spans="1:20">
      <c r="A70" t="s">
        <v>64</v>
      </c>
      <c r="B70">
        <v>1.16268</v>
      </c>
      <c r="C70" s="3">
        <v>0.022936</v>
      </c>
      <c r="D70">
        <f t="shared" si="5"/>
        <v>1.139744</v>
      </c>
      <c r="F70">
        <v>1.874257</v>
      </c>
      <c r="G70" s="3">
        <v>0.030997</v>
      </c>
      <c r="H70">
        <f t="shared" si="6"/>
        <v>1.84326</v>
      </c>
      <c r="J70">
        <v>1.804263</v>
      </c>
      <c r="K70" s="3">
        <v>0.029245</v>
      </c>
      <c r="L70">
        <f t="shared" si="7"/>
        <v>1.775018</v>
      </c>
      <c r="N70">
        <v>1.367537</v>
      </c>
      <c r="O70" s="3">
        <v>0.031782</v>
      </c>
      <c r="P70">
        <f t="shared" si="8"/>
        <v>1.335755</v>
      </c>
      <c r="R70">
        <v>1.578161</v>
      </c>
      <c r="S70" s="3">
        <v>0.028458</v>
      </c>
      <c r="T70">
        <f t="shared" si="9"/>
        <v>1.549703</v>
      </c>
    </row>
    <row r="71" spans="1:20">
      <c r="A71" t="s">
        <v>99</v>
      </c>
      <c r="B71">
        <v>600</v>
      </c>
      <c r="C71" s="3">
        <v>0.17507</v>
      </c>
      <c r="D71">
        <f t="shared" si="5"/>
        <v>599.82493</v>
      </c>
      <c r="F71">
        <v>600</v>
      </c>
      <c r="G71" s="3">
        <v>0.172696</v>
      </c>
      <c r="H71">
        <f t="shared" si="6"/>
        <v>599.827304</v>
      </c>
      <c r="J71">
        <v>600</v>
      </c>
      <c r="K71" s="3">
        <v>0.197566</v>
      </c>
      <c r="L71">
        <f t="shared" si="7"/>
        <v>599.802434</v>
      </c>
      <c r="N71">
        <v>600</v>
      </c>
      <c r="O71" s="3">
        <v>0.602304</v>
      </c>
      <c r="P71">
        <f t="shared" si="8"/>
        <v>599.397696</v>
      </c>
      <c r="R71">
        <v>600</v>
      </c>
      <c r="S71" s="3">
        <v>0.605469</v>
      </c>
      <c r="T71">
        <f t="shared" si="9"/>
        <v>599.394531</v>
      </c>
    </row>
    <row r="72" spans="1:20">
      <c r="A72" t="s">
        <v>83</v>
      </c>
      <c r="B72">
        <v>600</v>
      </c>
      <c r="C72" s="3">
        <v>1.42945</v>
      </c>
      <c r="D72">
        <f t="shared" si="5"/>
        <v>598.57055</v>
      </c>
      <c r="F72">
        <v>600</v>
      </c>
      <c r="G72" s="3">
        <v>6.33698</v>
      </c>
      <c r="H72">
        <f t="shared" si="6"/>
        <v>593.66302</v>
      </c>
      <c r="J72">
        <v>600</v>
      </c>
      <c r="K72" s="3">
        <v>600</v>
      </c>
      <c r="L72">
        <f t="shared" si="7"/>
        <v>0</v>
      </c>
      <c r="N72">
        <v>600</v>
      </c>
      <c r="O72" s="3">
        <v>47.2176</v>
      </c>
      <c r="P72">
        <f t="shared" si="8"/>
        <v>552.7824</v>
      </c>
      <c r="R72">
        <v>600</v>
      </c>
      <c r="S72" s="3">
        <v>600</v>
      </c>
      <c r="T72">
        <f t="shared" si="9"/>
        <v>0</v>
      </c>
    </row>
    <row r="73" spans="1:20">
      <c r="A73" t="s">
        <v>144</v>
      </c>
      <c r="B73">
        <v>600</v>
      </c>
      <c r="C73" s="3">
        <v>13.7737</v>
      </c>
      <c r="D73">
        <f t="shared" si="5"/>
        <v>586.2263</v>
      </c>
      <c r="F73">
        <v>600</v>
      </c>
      <c r="G73" s="3">
        <v>21.6995</v>
      </c>
      <c r="H73">
        <f t="shared" si="6"/>
        <v>578.3005</v>
      </c>
      <c r="J73">
        <v>600</v>
      </c>
      <c r="K73" s="3">
        <v>600</v>
      </c>
      <c r="L73">
        <f t="shared" si="7"/>
        <v>0</v>
      </c>
      <c r="N73">
        <v>600</v>
      </c>
      <c r="O73" s="3">
        <v>71.4902</v>
      </c>
      <c r="P73">
        <f t="shared" si="8"/>
        <v>528.5098</v>
      </c>
      <c r="R73">
        <v>600</v>
      </c>
      <c r="S73" s="3">
        <v>600</v>
      </c>
      <c r="T73">
        <f t="shared" si="9"/>
        <v>0</v>
      </c>
    </row>
    <row r="74" spans="1:20">
      <c r="A74" t="s">
        <v>155</v>
      </c>
      <c r="B74">
        <v>600</v>
      </c>
      <c r="C74" s="3">
        <v>0.263398</v>
      </c>
      <c r="D74">
        <f t="shared" si="5"/>
        <v>599.736602</v>
      </c>
      <c r="F74">
        <v>600</v>
      </c>
      <c r="G74" s="3">
        <v>0.391254</v>
      </c>
      <c r="H74">
        <f t="shared" si="6"/>
        <v>599.608746</v>
      </c>
      <c r="J74">
        <v>600</v>
      </c>
      <c r="K74" s="3">
        <v>0.750097</v>
      </c>
      <c r="L74">
        <f t="shared" si="7"/>
        <v>599.249903</v>
      </c>
      <c r="N74">
        <v>600</v>
      </c>
      <c r="O74" s="3">
        <v>39.5744</v>
      </c>
      <c r="P74">
        <f t="shared" si="8"/>
        <v>560.4256</v>
      </c>
      <c r="R74">
        <v>600</v>
      </c>
      <c r="S74" s="3">
        <v>1.33773</v>
      </c>
      <c r="T74">
        <f t="shared" si="9"/>
        <v>598.66227</v>
      </c>
    </row>
    <row r="75" spans="1:20">
      <c r="A75" t="s">
        <v>67</v>
      </c>
      <c r="B75">
        <v>600</v>
      </c>
      <c r="C75" s="3">
        <v>104.544</v>
      </c>
      <c r="D75">
        <f t="shared" si="5"/>
        <v>495.456</v>
      </c>
      <c r="F75">
        <v>600</v>
      </c>
      <c r="G75" s="3">
        <v>600</v>
      </c>
      <c r="H75">
        <f t="shared" si="6"/>
        <v>0</v>
      </c>
      <c r="J75">
        <v>600</v>
      </c>
      <c r="K75" s="3">
        <v>600</v>
      </c>
      <c r="L75">
        <f t="shared" si="7"/>
        <v>0</v>
      </c>
      <c r="N75">
        <v>600</v>
      </c>
      <c r="O75" s="3">
        <v>600</v>
      </c>
      <c r="P75">
        <f t="shared" si="8"/>
        <v>0</v>
      </c>
      <c r="R75">
        <v>600</v>
      </c>
      <c r="S75" s="3">
        <v>600</v>
      </c>
      <c r="T75">
        <f t="shared" si="9"/>
        <v>0</v>
      </c>
    </row>
    <row r="76" spans="1:20">
      <c r="A76" t="s">
        <v>150</v>
      </c>
      <c r="B76">
        <v>600</v>
      </c>
      <c r="C76" s="3">
        <v>0.093749</v>
      </c>
      <c r="D76">
        <f t="shared" si="5"/>
        <v>599.906251</v>
      </c>
      <c r="F76">
        <v>600</v>
      </c>
      <c r="G76" s="3">
        <v>0.28725</v>
      </c>
      <c r="H76">
        <f t="shared" si="6"/>
        <v>599.71275</v>
      </c>
      <c r="J76">
        <v>600</v>
      </c>
      <c r="K76" s="3">
        <v>0.887922</v>
      </c>
      <c r="L76">
        <f t="shared" si="7"/>
        <v>599.112078</v>
      </c>
      <c r="N76">
        <v>600</v>
      </c>
      <c r="O76" s="3">
        <v>2.4832</v>
      </c>
      <c r="P76">
        <f t="shared" si="8"/>
        <v>597.5168</v>
      </c>
      <c r="R76">
        <v>600</v>
      </c>
      <c r="S76" s="3">
        <v>1.10446</v>
      </c>
      <c r="T76">
        <f t="shared" si="9"/>
        <v>598.89554</v>
      </c>
    </row>
    <row r="77" spans="1:20">
      <c r="A77" t="s">
        <v>149</v>
      </c>
      <c r="B77">
        <v>600</v>
      </c>
      <c r="C77" s="3">
        <v>0.073815</v>
      </c>
      <c r="D77">
        <f t="shared" si="5"/>
        <v>599.926185</v>
      </c>
      <c r="F77">
        <v>600</v>
      </c>
      <c r="G77" s="3">
        <v>0.137174</v>
      </c>
      <c r="H77">
        <f t="shared" si="6"/>
        <v>599.862826</v>
      </c>
      <c r="J77">
        <v>600</v>
      </c>
      <c r="K77" s="3">
        <v>0.188065</v>
      </c>
      <c r="L77">
        <f t="shared" si="7"/>
        <v>599.811935</v>
      </c>
      <c r="N77">
        <v>600</v>
      </c>
      <c r="O77" s="3">
        <v>0.231661</v>
      </c>
      <c r="P77">
        <f t="shared" si="8"/>
        <v>599.768339</v>
      </c>
      <c r="R77">
        <v>600</v>
      </c>
      <c r="S77" s="3">
        <v>0.337108</v>
      </c>
      <c r="T77">
        <f t="shared" si="9"/>
        <v>599.662892</v>
      </c>
    </row>
    <row r="78" spans="1:20">
      <c r="A78" t="s">
        <v>138</v>
      </c>
      <c r="B78">
        <v>600</v>
      </c>
      <c r="C78" s="3">
        <v>1.15396</v>
      </c>
      <c r="D78">
        <f t="shared" si="5"/>
        <v>598.84604</v>
      </c>
      <c r="F78">
        <v>600</v>
      </c>
      <c r="G78" s="3">
        <v>1.64167</v>
      </c>
      <c r="H78">
        <f t="shared" si="6"/>
        <v>598.35833</v>
      </c>
      <c r="J78">
        <v>600</v>
      </c>
      <c r="K78" s="3">
        <v>27.7233</v>
      </c>
      <c r="L78">
        <f t="shared" si="7"/>
        <v>572.2767</v>
      </c>
      <c r="N78">
        <v>600</v>
      </c>
      <c r="O78" s="3">
        <v>5.27297</v>
      </c>
      <c r="P78">
        <f t="shared" si="8"/>
        <v>594.72703</v>
      </c>
      <c r="R78">
        <v>600</v>
      </c>
      <c r="S78" s="3">
        <v>7.36813</v>
      </c>
      <c r="T78">
        <f t="shared" si="9"/>
        <v>592.63187</v>
      </c>
    </row>
    <row r="79" spans="1:20">
      <c r="A79" t="s">
        <v>90</v>
      </c>
      <c r="B79">
        <v>600</v>
      </c>
      <c r="C79" s="3">
        <v>0.179724</v>
      </c>
      <c r="D79">
        <f t="shared" si="5"/>
        <v>599.820276</v>
      </c>
      <c r="F79">
        <v>600</v>
      </c>
      <c r="G79" s="3">
        <v>0.467291</v>
      </c>
      <c r="H79">
        <f t="shared" si="6"/>
        <v>599.532709</v>
      </c>
      <c r="J79">
        <v>600</v>
      </c>
      <c r="K79" s="3">
        <v>2.28007</v>
      </c>
      <c r="L79">
        <f t="shared" si="7"/>
        <v>597.71993</v>
      </c>
      <c r="N79">
        <v>600</v>
      </c>
      <c r="O79" s="3">
        <v>2.41832</v>
      </c>
      <c r="P79">
        <f t="shared" si="8"/>
        <v>597.58168</v>
      </c>
      <c r="R79">
        <v>600</v>
      </c>
      <c r="S79" s="3">
        <v>2.14425</v>
      </c>
      <c r="T79">
        <f t="shared" si="9"/>
        <v>597.85575</v>
      </c>
    </row>
    <row r="80" spans="1:20">
      <c r="A80" t="s">
        <v>100</v>
      </c>
      <c r="B80">
        <v>600</v>
      </c>
      <c r="C80" s="3">
        <v>6.5052</v>
      </c>
      <c r="D80">
        <f t="shared" si="5"/>
        <v>593.4948</v>
      </c>
      <c r="F80">
        <v>600</v>
      </c>
      <c r="G80" s="3">
        <v>10.9431</v>
      </c>
      <c r="H80">
        <f t="shared" si="6"/>
        <v>589.0569</v>
      </c>
      <c r="J80">
        <v>600</v>
      </c>
      <c r="K80" s="3">
        <v>8.13398</v>
      </c>
      <c r="L80">
        <f t="shared" si="7"/>
        <v>591.86602</v>
      </c>
      <c r="N80">
        <v>600</v>
      </c>
      <c r="O80" s="3">
        <v>600</v>
      </c>
      <c r="P80">
        <f t="shared" si="8"/>
        <v>0</v>
      </c>
      <c r="R80">
        <v>600</v>
      </c>
      <c r="S80" s="3">
        <v>16.2897</v>
      </c>
      <c r="T80">
        <f t="shared" si="9"/>
        <v>583.7103</v>
      </c>
    </row>
    <row r="81" spans="1:22">
      <c r="A81" t="s">
        <v>126</v>
      </c>
      <c r="B81">
        <v>600</v>
      </c>
      <c r="C81" s="3">
        <v>1.92163</v>
      </c>
      <c r="D81">
        <f t="shared" si="5"/>
        <v>598.07837</v>
      </c>
      <c r="F81">
        <v>600</v>
      </c>
      <c r="G81" s="3">
        <v>2.96814</v>
      </c>
      <c r="H81">
        <f t="shared" si="6"/>
        <v>597.03186</v>
      </c>
      <c r="J81">
        <v>600</v>
      </c>
      <c r="K81" s="3">
        <v>12.9323</v>
      </c>
      <c r="L81">
        <f t="shared" si="7"/>
        <v>587.0677</v>
      </c>
      <c r="N81">
        <v>600</v>
      </c>
      <c r="O81" s="3">
        <v>150.523</v>
      </c>
      <c r="P81">
        <f t="shared" si="8"/>
        <v>449.477</v>
      </c>
      <c r="R81">
        <v>600</v>
      </c>
      <c r="S81" s="3">
        <v>110.958</v>
      </c>
      <c r="T81">
        <f t="shared" si="9"/>
        <v>489.042</v>
      </c>
    </row>
    <row r="82" spans="1:22">
      <c r="A82" t="s">
        <v>147</v>
      </c>
      <c r="B82">
        <v>600</v>
      </c>
      <c r="C82" s="3">
        <v>0.288425</v>
      </c>
      <c r="D82">
        <f t="shared" si="5"/>
        <v>599.711575</v>
      </c>
      <c r="F82">
        <v>600</v>
      </c>
      <c r="G82" s="3">
        <v>0.302184</v>
      </c>
      <c r="H82">
        <f t="shared" si="6"/>
        <v>599.697816</v>
      </c>
      <c r="J82">
        <v>600</v>
      </c>
      <c r="K82" s="3">
        <v>1.59059</v>
      </c>
      <c r="L82">
        <f t="shared" si="7"/>
        <v>598.40941</v>
      </c>
      <c r="N82">
        <v>600</v>
      </c>
      <c r="O82" s="3">
        <v>1.54549</v>
      </c>
      <c r="P82">
        <f t="shared" si="8"/>
        <v>598.45451</v>
      </c>
      <c r="R82">
        <v>600</v>
      </c>
      <c r="S82" s="3">
        <v>4.2902</v>
      </c>
      <c r="T82">
        <f t="shared" si="9"/>
        <v>595.7098</v>
      </c>
    </row>
    <row r="83" spans="1:22">
      <c r="B83">
        <f>COUNTIF(B4:B82,"&lt;600")</f>
        <v>29</v>
      </c>
      <c r="C83">
        <f>COUNTIF(C4:C82,"&lt;600")</f>
        <v>76</v>
      </c>
      <c r="F83">
        <f t="shared" ref="F83:K83" si="10">COUNTIF(F4:F82,"&lt;600")</f>
        <v>30</v>
      </c>
      <c r="G83">
        <f t="shared" si="10"/>
        <v>72</v>
      </c>
      <c r="J83">
        <f t="shared" si="10"/>
        <v>28</v>
      </c>
      <c r="K83">
        <f t="shared" si="10"/>
        <v>65</v>
      </c>
      <c r="N83">
        <f t="shared" ref="N83:S83" si="11">COUNTIF(N4:N82,"&lt;600")</f>
        <v>29</v>
      </c>
      <c r="O83">
        <f t="shared" si="11"/>
        <v>62</v>
      </c>
      <c r="R83">
        <f t="shared" si="11"/>
        <v>29</v>
      </c>
      <c r="S83">
        <f t="shared" si="11"/>
        <v>55</v>
      </c>
    </row>
    <row r="84" spans="1:22">
      <c r="A84" s="4" t="s">
        <v>167</v>
      </c>
      <c r="D84">
        <f>COUNTIF(D4:D82,"=0")</f>
        <v>3</v>
      </c>
      <c r="H84">
        <f>COUNTIF(H4:H82,"=0")</f>
        <v>7</v>
      </c>
      <c r="L84">
        <f>COUNTIF(L4:L82,"=0")</f>
        <v>14</v>
      </c>
      <c r="P84">
        <f>COUNTIF(P4:P82,"=0")</f>
        <v>17</v>
      </c>
      <c r="T84">
        <f>COUNTIF(T4:T82,"=0")</f>
        <v>24</v>
      </c>
    </row>
    <row r="85" spans="1:22">
      <c r="A85" s="4" t="s">
        <v>168</v>
      </c>
      <c r="D85">
        <f>COUNTIF(D4:D82,"&gt;0")</f>
        <v>73</v>
      </c>
      <c r="H85">
        <f>COUNTIF(H4:H82,"&gt;0")</f>
        <v>70</v>
      </c>
      <c r="L85">
        <f>COUNTIF(L4:L82,"&gt;0")</f>
        <v>64</v>
      </c>
      <c r="P85">
        <f>COUNTIF(P4:P82,"&gt;0")</f>
        <v>61</v>
      </c>
      <c r="T85">
        <f>COUNTIF(T4:T82,"&gt;0")</f>
        <v>53</v>
      </c>
      <c r="V85">
        <f>T85+P85+L85+H85+D85</f>
        <v>321</v>
      </c>
    </row>
    <row r="86" spans="1:22">
      <c r="A86" s="4" t="s">
        <v>169</v>
      </c>
      <c r="D86">
        <f>COUNTIF(D4:D82,"&lt;0")</f>
        <v>3</v>
      </c>
      <c r="H86">
        <f>COUNTIF(H4:H82,"&lt;0")</f>
        <v>2</v>
      </c>
      <c r="L86">
        <f>COUNTIF(L4:L82,"&lt;0")</f>
        <v>1</v>
      </c>
      <c r="P86">
        <f>COUNTIF(P4:P82,"&lt;0")</f>
        <v>1</v>
      </c>
      <c r="T86">
        <f>COUNTIF(T4:T82,"&lt;0")</f>
        <v>2</v>
      </c>
      <c r="V86">
        <f>T86+P86+L86+H86+D86</f>
        <v>9</v>
      </c>
    </row>
    <row r="87" spans="1:22">
      <c r="V87">
        <f>V85+V86</f>
        <v>330</v>
      </c>
    </row>
    <row r="89" spans="1:22">
      <c r="B89" t="s">
        <v>111</v>
      </c>
      <c r="C89">
        <v>-1</v>
      </c>
      <c r="F89" t="s">
        <v>113</v>
      </c>
      <c r="G89">
        <v>0.113922</v>
      </c>
      <c r="J89" t="s">
        <v>113</v>
      </c>
      <c r="K89">
        <v>0.118291</v>
      </c>
      <c r="N89" t="s">
        <v>113</v>
      </c>
      <c r="O89">
        <v>2.28466</v>
      </c>
      <c r="R89" t="s">
        <v>113</v>
      </c>
      <c r="S89">
        <v>3.76284</v>
      </c>
    </row>
    <row r="90" spans="1:22">
      <c r="B90" t="s">
        <v>112</v>
      </c>
      <c r="C90">
        <v>-1</v>
      </c>
      <c r="F90" t="s">
        <v>29</v>
      </c>
      <c r="G90">
        <v>-1</v>
      </c>
      <c r="J90" t="s">
        <v>29</v>
      </c>
      <c r="K90">
        <v>-1</v>
      </c>
      <c r="N90" t="s">
        <v>29</v>
      </c>
      <c r="O90">
        <v>-1</v>
      </c>
      <c r="R90" t="s">
        <v>29</v>
      </c>
      <c r="S90">
        <v>-1</v>
      </c>
    </row>
    <row r="91" spans="1:22">
      <c r="B91" t="s">
        <v>113</v>
      </c>
      <c r="C91">
        <v>0.114602</v>
      </c>
      <c r="F91" t="s">
        <v>118</v>
      </c>
      <c r="G91">
        <v>18.2882</v>
      </c>
      <c r="J91" t="s">
        <v>118</v>
      </c>
      <c r="K91">
        <v>13.0735</v>
      </c>
      <c r="N91" t="s">
        <v>118</v>
      </c>
      <c r="O91">
        <v>27.9071</v>
      </c>
      <c r="R91" t="s">
        <v>118</v>
      </c>
      <c r="S91">
        <v>75.5327</v>
      </c>
    </row>
    <row r="92" spans="1:22">
      <c r="B92" t="s">
        <v>115</v>
      </c>
      <c r="C92">
        <v>-1</v>
      </c>
      <c r="F92" t="s">
        <v>120</v>
      </c>
      <c r="G92">
        <v>565.489</v>
      </c>
      <c r="J92" t="s">
        <v>120</v>
      </c>
      <c r="K92">
        <v>-1</v>
      </c>
      <c r="N92" t="s">
        <v>120</v>
      </c>
      <c r="O92">
        <v>-1</v>
      </c>
      <c r="R92" t="s">
        <v>120</v>
      </c>
      <c r="S92">
        <v>-1</v>
      </c>
    </row>
    <row r="93" spans="1:22">
      <c r="B93" t="s">
        <v>116</v>
      </c>
      <c r="C93">
        <v>-1</v>
      </c>
      <c r="F93" t="s">
        <v>116</v>
      </c>
      <c r="G93">
        <v>-1</v>
      </c>
      <c r="J93" t="s">
        <v>116</v>
      </c>
      <c r="K93">
        <v>-1</v>
      </c>
      <c r="N93" t="s">
        <v>116</v>
      </c>
      <c r="O93">
        <v>-1</v>
      </c>
      <c r="R93" t="s">
        <v>116</v>
      </c>
      <c r="S93">
        <v>-1</v>
      </c>
    </row>
    <row r="94" spans="1:22">
      <c r="B94" t="s">
        <v>118</v>
      </c>
      <c r="C94">
        <v>2.73138</v>
      </c>
      <c r="F94" t="s">
        <v>122</v>
      </c>
      <c r="G94">
        <v>-1</v>
      </c>
      <c r="J94" t="s">
        <v>122</v>
      </c>
      <c r="K94">
        <v>-1</v>
      </c>
      <c r="N94" t="s">
        <v>122</v>
      </c>
      <c r="O94">
        <v>-1</v>
      </c>
      <c r="R94" t="s">
        <v>122</v>
      </c>
      <c r="S94">
        <v>-1</v>
      </c>
    </row>
    <row r="95" spans="1:22">
      <c r="B95" t="s">
        <v>120</v>
      </c>
      <c r="C95">
        <v>214.096</v>
      </c>
      <c r="F95" t="s">
        <v>115</v>
      </c>
      <c r="G95">
        <v>-1</v>
      </c>
      <c r="J95" t="s">
        <v>115</v>
      </c>
      <c r="K95">
        <v>-1</v>
      </c>
      <c r="N95" t="s">
        <v>115</v>
      </c>
      <c r="O95">
        <v>-1</v>
      </c>
      <c r="R95" t="s">
        <v>115</v>
      </c>
      <c r="S95">
        <v>-1</v>
      </c>
    </row>
    <row r="96" spans="1:22">
      <c r="B96" t="s">
        <v>122</v>
      </c>
      <c r="C96">
        <v>577.456</v>
      </c>
      <c r="F96" t="s">
        <v>66</v>
      </c>
      <c r="G96">
        <v>112.886</v>
      </c>
      <c r="J96" t="s">
        <v>66</v>
      </c>
      <c r="K96">
        <v>-1</v>
      </c>
      <c r="N96" t="s">
        <v>66</v>
      </c>
      <c r="O96">
        <v>-1</v>
      </c>
      <c r="R96" t="s">
        <v>66</v>
      </c>
      <c r="S96">
        <v>-1</v>
      </c>
    </row>
    <row r="97" spans="1:21">
      <c r="B97" t="s">
        <v>66</v>
      </c>
      <c r="C97">
        <v>46.3398</v>
      </c>
      <c r="F97" t="s">
        <v>123</v>
      </c>
      <c r="G97">
        <v>36.7168</v>
      </c>
      <c r="J97" t="s">
        <v>123</v>
      </c>
      <c r="K97">
        <v>-1</v>
      </c>
      <c r="N97" t="s">
        <v>123</v>
      </c>
      <c r="O97">
        <v>-1</v>
      </c>
      <c r="R97" t="s">
        <v>123</v>
      </c>
      <c r="S97">
        <v>267.999</v>
      </c>
    </row>
    <row r="98" spans="1:21">
      <c r="B98" t="s">
        <v>123</v>
      </c>
      <c r="C98">
        <v>13.6438</v>
      </c>
      <c r="F98" t="s">
        <v>124</v>
      </c>
      <c r="G98">
        <v>127.411</v>
      </c>
      <c r="J98" t="s">
        <v>124</v>
      </c>
      <c r="K98">
        <v>98.8487</v>
      </c>
      <c r="N98" t="s">
        <v>124</v>
      </c>
      <c r="O98">
        <v>73.0706</v>
      </c>
      <c r="R98" t="s">
        <v>124</v>
      </c>
      <c r="S98">
        <v>153.701</v>
      </c>
    </row>
    <row r="99" spans="1:21">
      <c r="B99" t="s">
        <v>124</v>
      </c>
      <c r="C99">
        <v>174.987</v>
      </c>
      <c r="F99" t="s">
        <v>125</v>
      </c>
      <c r="G99">
        <v>340.481</v>
      </c>
      <c r="J99" t="s">
        <v>125</v>
      </c>
      <c r="K99">
        <v>-1</v>
      </c>
      <c r="N99" t="s">
        <v>125</v>
      </c>
      <c r="O99">
        <v>-1</v>
      </c>
      <c r="R99" t="s">
        <v>125</v>
      </c>
      <c r="S99">
        <v>-1</v>
      </c>
    </row>
    <row r="100" spans="1:21">
      <c r="B100" t="s">
        <v>125</v>
      </c>
      <c r="C100">
        <v>211.347</v>
      </c>
      <c r="F100" t="s">
        <v>111</v>
      </c>
      <c r="G100">
        <v>334.607</v>
      </c>
      <c r="J100" t="s">
        <v>111</v>
      </c>
      <c r="K100">
        <v>-1</v>
      </c>
      <c r="N100" t="s">
        <v>111</v>
      </c>
      <c r="O100">
        <v>-1</v>
      </c>
      <c r="R100" t="s">
        <v>111</v>
      </c>
      <c r="S100">
        <v>-1</v>
      </c>
    </row>
    <row r="101" spans="1:21">
      <c r="B101" t="s">
        <v>127</v>
      </c>
      <c r="C101">
        <v>2.25475</v>
      </c>
      <c r="F101" t="s">
        <v>112</v>
      </c>
      <c r="G101">
        <v>-1</v>
      </c>
      <c r="J101" t="s">
        <v>112</v>
      </c>
      <c r="K101">
        <v>-1</v>
      </c>
      <c r="N101" t="s">
        <v>112</v>
      </c>
      <c r="O101">
        <v>-1</v>
      </c>
      <c r="R101" t="s">
        <v>112</v>
      </c>
      <c r="S101">
        <v>-1</v>
      </c>
    </row>
    <row r="102" spans="1:21">
      <c r="B102" t="s">
        <v>129</v>
      </c>
      <c r="C102">
        <v>0.564154</v>
      </c>
      <c r="F102" t="s">
        <v>127</v>
      </c>
      <c r="G102">
        <v>2.24569</v>
      </c>
      <c r="J102" t="s">
        <v>127</v>
      </c>
      <c r="K102">
        <v>2.22788</v>
      </c>
      <c r="N102" t="s">
        <v>127</v>
      </c>
      <c r="O102">
        <v>2.21912</v>
      </c>
      <c r="R102" t="s">
        <v>127</v>
      </c>
      <c r="S102">
        <v>2.23722</v>
      </c>
    </row>
    <row r="103" spans="1:21">
      <c r="B103" t="s">
        <v>131</v>
      </c>
      <c r="C103">
        <v>9.5673</v>
      </c>
      <c r="F103" t="s">
        <v>129</v>
      </c>
      <c r="G103">
        <v>0.739165</v>
      </c>
      <c r="J103" t="s">
        <v>129</v>
      </c>
      <c r="K103">
        <v>0.75506</v>
      </c>
      <c r="N103" t="s">
        <v>129</v>
      </c>
      <c r="O103">
        <v>0.748356</v>
      </c>
      <c r="R103" t="s">
        <v>129</v>
      </c>
      <c r="S103">
        <v>0.740959</v>
      </c>
    </row>
    <row r="104" spans="1:21">
      <c r="B104" t="s">
        <v>29</v>
      </c>
      <c r="C104">
        <v>-1</v>
      </c>
      <c r="F104" t="s">
        <v>131</v>
      </c>
      <c r="G104">
        <v>37.9146</v>
      </c>
      <c r="J104" t="s">
        <v>131</v>
      </c>
      <c r="K104">
        <v>85.6238</v>
      </c>
      <c r="N104" t="s">
        <v>131</v>
      </c>
      <c r="O104">
        <v>204.938</v>
      </c>
      <c r="R104" t="s">
        <v>131</v>
      </c>
      <c r="S104">
        <v>-1</v>
      </c>
    </row>
    <row r="105" spans="1:21">
      <c r="A105" s="2" t="s">
        <v>170</v>
      </c>
      <c r="C105">
        <v>15</v>
      </c>
      <c r="G105">
        <v>10</v>
      </c>
      <c r="K105">
        <v>11</v>
      </c>
      <c r="O105">
        <v>10</v>
      </c>
      <c r="S105">
        <v>6</v>
      </c>
      <c r="U105">
        <f>S105+O105+K105+G105+C105</f>
        <v>52</v>
      </c>
    </row>
    <row r="109" spans="1:21">
      <c r="B109" s="2" t="s">
        <v>171</v>
      </c>
      <c r="C109" s="2" t="s">
        <v>159</v>
      </c>
      <c r="D109" s="2" t="s">
        <v>160</v>
      </c>
      <c r="E109" s="2" t="s">
        <v>161</v>
      </c>
      <c r="F109" s="2" t="s">
        <v>162</v>
      </c>
      <c r="G109" s="2" t="s">
        <v>163</v>
      </c>
    </row>
    <row r="110" spans="1:21">
      <c r="B110" t="s">
        <v>111</v>
      </c>
      <c r="C110" t="s">
        <v>172</v>
      </c>
      <c r="D110">
        <v>0.113922</v>
      </c>
      <c r="E110">
        <v>0.118291</v>
      </c>
      <c r="F110">
        <v>2.28466</v>
      </c>
      <c r="G110">
        <v>3.76284</v>
      </c>
    </row>
    <row r="111" spans="1:21">
      <c r="B111" t="s">
        <v>112</v>
      </c>
      <c r="C111" t="s">
        <v>172</v>
      </c>
      <c r="D111" t="s">
        <v>172</v>
      </c>
      <c r="E111" t="s">
        <v>172</v>
      </c>
      <c r="F111" t="s">
        <v>172</v>
      </c>
      <c r="G111" t="s">
        <v>172</v>
      </c>
    </row>
    <row r="112" spans="1:21">
      <c r="B112" t="s">
        <v>113</v>
      </c>
      <c r="C112">
        <v>0.114602</v>
      </c>
      <c r="D112">
        <v>18.2882</v>
      </c>
      <c r="E112">
        <v>13.0735</v>
      </c>
      <c r="F112">
        <v>27.9071</v>
      </c>
      <c r="G112">
        <v>75.5327</v>
      </c>
    </row>
    <row r="113" spans="2:7">
      <c r="B113" t="s">
        <v>115</v>
      </c>
      <c r="C113" t="s">
        <v>172</v>
      </c>
      <c r="D113">
        <v>565.489</v>
      </c>
      <c r="E113" t="s">
        <v>172</v>
      </c>
      <c r="F113" t="s">
        <v>172</v>
      </c>
      <c r="G113" t="s">
        <v>172</v>
      </c>
    </row>
    <row r="114" spans="2:7">
      <c r="B114" t="s">
        <v>116</v>
      </c>
      <c r="C114" t="s">
        <v>172</v>
      </c>
      <c r="D114" t="s">
        <v>172</v>
      </c>
      <c r="E114" t="s">
        <v>172</v>
      </c>
      <c r="F114" t="s">
        <v>172</v>
      </c>
      <c r="G114" t="s">
        <v>172</v>
      </c>
    </row>
    <row r="115" spans="2:7">
      <c r="B115" t="s">
        <v>118</v>
      </c>
      <c r="C115">
        <v>2.73138</v>
      </c>
      <c r="D115" t="s">
        <v>172</v>
      </c>
      <c r="E115" t="s">
        <v>172</v>
      </c>
      <c r="F115" t="s">
        <v>172</v>
      </c>
      <c r="G115" t="s">
        <v>172</v>
      </c>
    </row>
    <row r="116" spans="2:7">
      <c r="B116" t="s">
        <v>120</v>
      </c>
      <c r="C116">
        <v>214.096</v>
      </c>
      <c r="D116" t="s">
        <v>172</v>
      </c>
      <c r="E116" t="s">
        <v>172</v>
      </c>
      <c r="F116" t="s">
        <v>172</v>
      </c>
      <c r="G116" t="s">
        <v>172</v>
      </c>
    </row>
    <row r="117" spans="2:7">
      <c r="B117" t="s">
        <v>122</v>
      </c>
      <c r="C117">
        <v>577.456</v>
      </c>
      <c r="D117">
        <v>112.886</v>
      </c>
      <c r="E117" t="s">
        <v>172</v>
      </c>
      <c r="F117" t="s">
        <v>172</v>
      </c>
      <c r="G117" t="s">
        <v>172</v>
      </c>
    </row>
    <row r="118" spans="2:7">
      <c r="B118" t="s">
        <v>66</v>
      </c>
      <c r="C118">
        <v>46.3398</v>
      </c>
      <c r="D118">
        <v>36.7168</v>
      </c>
      <c r="E118" t="s">
        <v>172</v>
      </c>
      <c r="F118" t="s">
        <v>172</v>
      </c>
      <c r="G118">
        <v>267.999</v>
      </c>
    </row>
    <row r="119" spans="2:7">
      <c r="B119" t="s">
        <v>123</v>
      </c>
      <c r="C119">
        <v>13.6438</v>
      </c>
      <c r="D119">
        <v>127.411</v>
      </c>
      <c r="E119">
        <v>98.8487</v>
      </c>
      <c r="F119">
        <v>73.0706</v>
      </c>
      <c r="G119">
        <v>153.701</v>
      </c>
    </row>
    <row r="120" spans="2:7">
      <c r="B120" t="s">
        <v>124</v>
      </c>
      <c r="C120">
        <v>174.987</v>
      </c>
      <c r="D120">
        <v>340.481</v>
      </c>
      <c r="E120" t="s">
        <v>172</v>
      </c>
      <c r="F120" t="s">
        <v>172</v>
      </c>
      <c r="G120" t="s">
        <v>172</v>
      </c>
    </row>
    <row r="121" spans="2:7">
      <c r="B121" t="s">
        <v>125</v>
      </c>
      <c r="C121">
        <v>211.347</v>
      </c>
      <c r="D121">
        <v>334.607</v>
      </c>
      <c r="E121" t="s">
        <v>172</v>
      </c>
      <c r="F121" t="s">
        <v>172</v>
      </c>
      <c r="G121" t="s">
        <v>172</v>
      </c>
    </row>
    <row r="122" spans="2:7">
      <c r="B122" t="s">
        <v>127</v>
      </c>
      <c r="C122">
        <v>2.25475</v>
      </c>
      <c r="D122" t="s">
        <v>172</v>
      </c>
      <c r="E122" t="s">
        <v>172</v>
      </c>
      <c r="F122" t="s">
        <v>172</v>
      </c>
      <c r="G122" t="s">
        <v>172</v>
      </c>
    </row>
    <row r="123" spans="2:7">
      <c r="B123" t="s">
        <v>129</v>
      </c>
      <c r="C123">
        <v>0.564154</v>
      </c>
      <c r="D123">
        <v>2.24569</v>
      </c>
      <c r="E123">
        <v>2.22788</v>
      </c>
      <c r="F123">
        <v>2.21912</v>
      </c>
      <c r="G123">
        <v>2.23722</v>
      </c>
    </row>
    <row r="124" spans="2:7">
      <c r="B124" t="s">
        <v>131</v>
      </c>
      <c r="C124">
        <v>9.5673</v>
      </c>
      <c r="D124">
        <v>0.739165</v>
      </c>
      <c r="E124">
        <v>0.75506</v>
      </c>
      <c r="F124">
        <v>0.748356</v>
      </c>
      <c r="G124">
        <v>0.740959</v>
      </c>
    </row>
    <row r="125" spans="2:7">
      <c r="B125" t="s">
        <v>29</v>
      </c>
      <c r="C125" t="s">
        <v>172</v>
      </c>
      <c r="D125">
        <v>37.9146</v>
      </c>
      <c r="E125">
        <v>85.6238</v>
      </c>
      <c r="F125">
        <v>204.938</v>
      </c>
      <c r="G125" t="s">
        <v>172</v>
      </c>
    </row>
  </sheetData>
  <sortState ref="A4:B82">
    <sortCondition ref="A4:A82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error的数据</vt:lpstr>
      <vt:lpstr>超时需要加入的点</vt:lpstr>
      <vt:lpstr>k=10</vt:lpstr>
      <vt:lpstr>k=15</vt:lpstr>
      <vt:lpstr>k=20</vt:lpstr>
      <vt:lpstr>k=25</vt:lpstr>
      <vt:lpstr>k=30</vt:lpstr>
      <vt:lpstr>Compare</vt:lpstr>
      <vt:lpstr>内存炸了的点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小丑本丑</cp:lastModifiedBy>
  <dcterms:created xsi:type="dcterms:W3CDTF">2025-07-27T02:34:00Z</dcterms:created>
  <dcterms:modified xsi:type="dcterms:W3CDTF">2026-05-09T14:43:42Z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E6C6E62F77FE47F1AE121D15025F4B24_12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