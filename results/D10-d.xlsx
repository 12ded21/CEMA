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659" firstSheet="2" activeTab="4"/>
  </bookViews>
  <sheets>
    <sheet name="0.0001" sheetId="1" r:id="rId1"/>
    <sheet name="0.0005" sheetId="2" r:id="rId2"/>
    <sheet name="0.001" sheetId="3" r:id="rId3"/>
    <sheet name="0.0015" sheetId="4" r:id="rId4"/>
    <sheet name="0.002" sheetId="5" r:id="rId5"/>
  </sheets>
  <definedNames>
    <definedName name="_xlnm._FilterDatabase" localSheetId="0" hidden="1">'0.0001'!$A$1:$A$96</definedName>
    <definedName name="_xlnm._FilterDatabase" localSheetId="1" hidden="1">'0.0005'!$A$1:$A$96</definedName>
    <definedName name="_xlnm._FilterDatabase" localSheetId="2" hidden="1">'0.001'!$A$1:$A$96</definedName>
    <definedName name="_xlnm._FilterDatabase" localSheetId="3" hidden="1">'0.0015'!$A$1:$A$96</definedName>
    <definedName name="_xlnm._FilterDatabase" localSheetId="4" hidden="1">'0.002'!$A$1:$A$96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<sst xmlns="http://schemas.openxmlformats.org/spreadsheetml/2006/main" count="911" uniqueCount="176">
  <si>
    <t>instance</t>
  </si>
  <si>
    <t>n</t>
  </si>
  <si>
    <t>m</t>
  </si>
  <si>
    <t>degree_n</t>
  </si>
  <si>
    <t>degree_m</t>
  </si>
  <si>
    <t>degree_time</t>
  </si>
  <si>
    <t>color_m</t>
  </si>
  <si>
    <t>color_time</t>
  </si>
  <si>
    <t>clique_m</t>
  </si>
  <si>
    <t>clique_time</t>
  </si>
  <si>
    <t>number_constrains</t>
  </si>
  <si>
    <t>number_cut</t>
  </si>
  <si>
    <t>ILP_time</t>
  </si>
  <si>
    <t>LB</t>
  </si>
  <si>
    <t>LB_time</t>
  </si>
  <si>
    <t>ans</t>
  </si>
  <si>
    <t>time</t>
  </si>
  <si>
    <t>vertex</t>
  </si>
  <si>
    <t>edge</t>
  </si>
  <si>
    <t>bio-celegans</t>
  </si>
  <si>
    <t>bio-diseasome</t>
  </si>
  <si>
    <t>7e-06</t>
  </si>
  <si>
    <t>bio-dmela</t>
  </si>
  <si>
    <t>bio-yeast</t>
  </si>
  <si>
    <t>2.2e-05</t>
  </si>
  <si>
    <t>1e-06</t>
  </si>
  <si>
    <t>ca-AstroPh</t>
  </si>
  <si>
    <t>ca-citeseer</t>
  </si>
  <si>
    <t>ca-CondMat</t>
  </si>
  <si>
    <t>ca-CSphd</t>
  </si>
  <si>
    <t>5e-05</t>
  </si>
  <si>
    <t>1.2e-05</t>
  </si>
  <si>
    <t>ca-dblp-2010</t>
  </si>
  <si>
    <t>ca-Erdos992</t>
  </si>
  <si>
    <t>ca-GrQc</t>
  </si>
  <si>
    <t>ca-HepPh</t>
  </si>
  <si>
    <t>ca-MathSciNet</t>
  </si>
  <si>
    <t>ca-netscience</t>
  </si>
  <si>
    <t>ia-email-EU</t>
  </si>
  <si>
    <t>ia-email-univ</t>
  </si>
  <si>
    <t>ia-enron-large</t>
  </si>
  <si>
    <t>ia-enron-only</t>
  </si>
  <si>
    <t>ia-fb-messages</t>
  </si>
  <si>
    <t>ia-infect-dublin</t>
  </si>
  <si>
    <t>ia-infect-hyper</t>
  </si>
  <si>
    <t>ia-reality</t>
  </si>
  <si>
    <t>ia-wiki-Talk</t>
  </si>
  <si>
    <t>inf-power</t>
  </si>
  <si>
    <t>1.1e-05</t>
  </si>
  <si>
    <t>rec-amazon</t>
  </si>
  <si>
    <t>rt-retweet</t>
  </si>
  <si>
    <t>1.7e-05</t>
  </si>
  <si>
    <t>rt-twitter-copen</t>
  </si>
  <si>
    <t>2.6e-05</t>
  </si>
  <si>
    <t>scc_enron-only</t>
  </si>
  <si>
    <t>scc_fb-forum</t>
  </si>
  <si>
    <t>scc_fb-messages</t>
  </si>
  <si>
    <t>scc_infect-dublin</t>
  </si>
  <si>
    <t>scc_infect-hyper</t>
  </si>
  <si>
    <t>scc_retweet</t>
  </si>
  <si>
    <t>scc_retweet-crawl</t>
  </si>
  <si>
    <t>scc_rt_alwefaq</t>
  </si>
  <si>
    <t>2.4e-05</t>
  </si>
  <si>
    <t>4e-06</t>
  </si>
  <si>
    <t>2.9e-05</t>
  </si>
  <si>
    <t>scc_rt_assad</t>
  </si>
  <si>
    <t>9e-06</t>
  </si>
  <si>
    <t>scc_rt_bahrain</t>
  </si>
  <si>
    <t>3.3e-05</t>
  </si>
  <si>
    <t>3.7e-05</t>
  </si>
  <si>
    <t>scc_rt_barackobama</t>
  </si>
  <si>
    <t>2.3e-05</t>
  </si>
  <si>
    <t>scc_rt_damascus</t>
  </si>
  <si>
    <t>5e-06</t>
  </si>
  <si>
    <t>scc_rt_dash</t>
  </si>
  <si>
    <t>6e-06</t>
  </si>
  <si>
    <t>scc_rt_gmanews</t>
  </si>
  <si>
    <t>6.4e-05</t>
  </si>
  <si>
    <t>8.6e-05</t>
  </si>
  <si>
    <t>scc_rt_gop</t>
  </si>
  <si>
    <t>2e-06</t>
  </si>
  <si>
    <t>scc_rt_http</t>
  </si>
  <si>
    <t>8e-06</t>
  </si>
  <si>
    <t>scc_rt_israel</t>
  </si>
  <si>
    <t>3e-06</t>
  </si>
  <si>
    <t>scc_rt_justinbieber</t>
  </si>
  <si>
    <t>3.5e-05</t>
  </si>
  <si>
    <t>scc_rt_ksa</t>
  </si>
  <si>
    <t>scc_rt_lebanon</t>
  </si>
  <si>
    <t>scc_rt_libya</t>
  </si>
  <si>
    <t>scc_rt_lolgop</t>
  </si>
  <si>
    <t>scc_rt_mittromney</t>
  </si>
  <si>
    <t>1.8e-05</t>
  </si>
  <si>
    <t>scc_rt_obama</t>
  </si>
  <si>
    <t>scc_rt_occupy</t>
  </si>
  <si>
    <t>scc_rt_occupywallstnyc</t>
  </si>
  <si>
    <t>6.2e-05</t>
  </si>
  <si>
    <t>7.9e-05</t>
  </si>
  <si>
    <t>scc_rt_oman</t>
  </si>
  <si>
    <t>scc_rt_onedirection</t>
  </si>
  <si>
    <t>3.8e-05</t>
  </si>
  <si>
    <t>7.2e-05</t>
  </si>
  <si>
    <t>scc_rt_p2</t>
  </si>
  <si>
    <t>scc_rt_qatif</t>
  </si>
  <si>
    <t>scc_rt_saudi</t>
  </si>
  <si>
    <t>scc_rt_tcot</t>
  </si>
  <si>
    <t>1e-05</t>
  </si>
  <si>
    <t>1.3e-05</t>
  </si>
  <si>
    <t>scc_rt_tlot</t>
  </si>
  <si>
    <t>scc_rt_uae</t>
  </si>
  <si>
    <t>scc_rt_voteonedirection</t>
  </si>
  <si>
    <t>scc_twitter-copen</t>
  </si>
  <si>
    <t>soc-brightkite</t>
  </si>
  <si>
    <t>soc-dolphins</t>
  </si>
  <si>
    <t>4.1e-05</t>
  </si>
  <si>
    <t>1.4e-05</t>
  </si>
  <si>
    <t>soc-douban</t>
  </si>
  <si>
    <t>soc-epinions</t>
  </si>
  <si>
    <t>socfb-Berkeley13</t>
  </si>
  <si>
    <t>socfb-CMU</t>
  </si>
  <si>
    <t>socfb-Duke14</t>
  </si>
  <si>
    <t>socfb-MIT</t>
  </si>
  <si>
    <t>socfb-OR</t>
  </si>
  <si>
    <t>socfb-Stanford3</t>
  </si>
  <si>
    <t>socfb-UCLA</t>
  </si>
  <si>
    <t>socfb-UConn</t>
  </si>
  <si>
    <t>socfb-UCSB37</t>
  </si>
  <si>
    <t>socfb-Wisconsin87</t>
  </si>
  <si>
    <t>soc-gowalla</t>
  </si>
  <si>
    <t>soc-karate</t>
  </si>
  <si>
    <t>1.9e-05</t>
  </si>
  <si>
    <t>soc-slashdot</t>
  </si>
  <si>
    <t>soc-twitter-follows</t>
  </si>
  <si>
    <t>soc-wiki-Vote</t>
  </si>
  <si>
    <t>tech-as-caida2007</t>
  </si>
  <si>
    <t>tech-internet-as</t>
  </si>
  <si>
    <t>tech-p2p-gnutella</t>
  </si>
  <si>
    <t>tech-RL-caida</t>
  </si>
  <si>
    <t>tech-routers-rf</t>
  </si>
  <si>
    <t>tech-WHOIS</t>
  </si>
  <si>
    <t>web-edu</t>
  </si>
  <si>
    <t>web-google</t>
  </si>
  <si>
    <t>web-indochina-2004</t>
  </si>
  <si>
    <t>web-polblogs</t>
  </si>
  <si>
    <t>web-sk-2005</t>
  </si>
  <si>
    <t>web-spam</t>
  </si>
  <si>
    <t>web-webbase-2001</t>
  </si>
  <si>
    <t>2.7e-05</t>
  </si>
  <si>
    <t>2.8e-05</t>
  </si>
  <si>
    <t>1.6e-05</t>
  </si>
  <si>
    <t>5.2e-05</t>
  </si>
  <si>
    <t>3e-05</t>
  </si>
  <si>
    <t>3.6e-05</t>
  </si>
  <si>
    <t>4.2e-05</t>
  </si>
  <si>
    <t>9.1e-05</t>
  </si>
  <si>
    <t>2.1e-05</t>
  </si>
  <si>
    <t>8.3e-05</t>
  </si>
  <si>
    <t>4.5e-05</t>
  </si>
  <si>
    <t>7.5e-05</t>
  </si>
  <si>
    <t>5.7e-05</t>
  </si>
  <si>
    <t>7.8e-05</t>
  </si>
  <si>
    <t>4.6e-05</t>
  </si>
  <si>
    <t>7.1e-05</t>
  </si>
  <si>
    <t>8.5e-05</t>
  </si>
  <si>
    <t>6.9e-05</t>
  </si>
  <si>
    <t>8.7e-05</t>
  </si>
  <si>
    <t>2.5e-05</t>
  </si>
  <si>
    <t>8.2e-05</t>
  </si>
  <si>
    <t>6e-05</t>
  </si>
  <si>
    <t>5.9e-05</t>
  </si>
  <si>
    <t>4.8e-05</t>
  </si>
  <si>
    <t>7.7e-05</t>
  </si>
  <si>
    <t>8.9e-05</t>
  </si>
  <si>
    <t>3.1e-05</t>
  </si>
  <si>
    <t>3.4e-05</t>
  </si>
  <si>
    <t>1.5e-05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</si>
</sst>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11" fontId="0" fillId="0" borderId="0" xfId="0" applyNumberFormat="1">
      <alignment vertical="center"/>
    </xf>
    <xf numFmtId="0" fontId="0" fillId="0" borderId="0" xfId="0" applyFont="1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7"/>
  <sheetViews>
    <sheetView topLeftCell="A75" workbookViewId="0">
      <selection activeCell="S75" sqref="S$1:T$1048576"/>
    </sheetView>
  </sheetViews>
  <sheetFormatPr defaultColWidth="9" defaultRowHeight="14"/>
  <cols>
    <col min="1" max="1" width="25.4545454545455" style="1" customWidth="1"/>
    <col min="6" max="6" width="9.54545454545454"/>
    <col min="8" max="8" width="9.54545454545454"/>
    <col min="10" max="10" width="10.6363636363636"/>
    <col min="13" max="13" width="9.54545454545454"/>
    <col min="15" max="15" width="9.54545454545454"/>
    <col min="17" max="17" width="9.54545454545454"/>
    <col min="18" max="20" width="12.8181818181818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17</v>
      </c>
      <c r="T1" t="s">
        <v>18</v>
      </c>
    </row>
    <row r="2" spans="1:20">
      <c r="A2" s="1" t="s">
        <v>19</v>
      </c>
      <c r="B2">
        <v>453</v>
      </c>
      <c r="C2">
        <v>2025</v>
      </c>
      <c r="D2">
        <v>68</v>
      </c>
      <c r="E2">
        <v>491</v>
      </c>
      <c r="F2" s="2">
        <v>9.7e-5</v>
      </c>
      <c r="G2">
        <v>136</v>
      </c>
      <c r="H2" s="2">
        <v>0.000477</v>
      </c>
      <c r="I2">
        <v>100</v>
      </c>
      <c r="J2">
        <v>0.029557</v>
      </c>
      <c r="K2">
        <v>80</v>
      </c>
      <c r="L2">
        <v>0</v>
      </c>
      <c r="M2">
        <v>0.003552</v>
      </c>
      <c r="N2">
        <v>8</v>
      </c>
      <c r="O2" s="2">
        <v>0.00012</v>
      </c>
      <c r="P2">
        <v>8</v>
      </c>
      <c r="Q2">
        <v>0.066865</v>
      </c>
      <c r="S2">
        <f>(1-D2/B2)*100</f>
        <v>84.9889624724062</v>
      </c>
      <c r="T2">
        <f>(1-I2/C2)*100</f>
        <v>95.0617283950617</v>
      </c>
    </row>
    <row r="3" spans="1:20">
      <c r="A3" s="1" t="s">
        <v>20</v>
      </c>
      <c r="B3">
        <v>516</v>
      </c>
      <c r="C3">
        <v>1188</v>
      </c>
      <c r="D3">
        <v>11</v>
      </c>
      <c r="E3">
        <v>55</v>
      </c>
      <c r="F3" s="2">
        <v>0.000108</v>
      </c>
      <c r="G3">
        <v>55</v>
      </c>
      <c r="H3">
        <v>0.00013</v>
      </c>
      <c r="I3">
        <v>55</v>
      </c>
      <c r="J3" s="4" t="s">
        <v>21</v>
      </c>
      <c r="K3">
        <v>1</v>
      </c>
      <c r="L3">
        <v>0</v>
      </c>
      <c r="M3">
        <v>0.006409</v>
      </c>
      <c r="N3">
        <v>10</v>
      </c>
      <c r="O3" s="2">
        <v>0.000336</v>
      </c>
      <c r="P3">
        <v>10</v>
      </c>
      <c r="Q3">
        <v>0.016138</v>
      </c>
      <c r="S3">
        <f t="shared" ref="S3:S34" si="0">(1-D3/B3)*100</f>
        <v>97.8682170542636</v>
      </c>
      <c r="T3">
        <f t="shared" ref="T3:T34" si="1">(1-I3/C3)*100</f>
        <v>95.3703703703704</v>
      </c>
    </row>
    <row r="4" spans="1:20">
      <c r="A4" s="1" t="s">
        <v>22</v>
      </c>
      <c r="B4">
        <v>7393</v>
      </c>
      <c r="C4">
        <v>25569</v>
      </c>
      <c r="D4">
        <v>2443</v>
      </c>
      <c r="E4">
        <v>16089</v>
      </c>
      <c r="F4">
        <v>0.00695</v>
      </c>
      <c r="G4">
        <v>271</v>
      </c>
      <c r="H4">
        <v>0.008611</v>
      </c>
      <c r="I4">
        <v>41</v>
      </c>
      <c r="J4">
        <v>0.018642</v>
      </c>
      <c r="K4">
        <v>45</v>
      </c>
      <c r="L4">
        <v>1</v>
      </c>
      <c r="M4">
        <v>0.003731</v>
      </c>
      <c r="N4">
        <v>5</v>
      </c>
      <c r="O4">
        <v>0.008895</v>
      </c>
      <c r="P4">
        <v>5</v>
      </c>
      <c r="Q4">
        <v>0.084518</v>
      </c>
      <c r="S4">
        <f t="shared" si="0"/>
        <v>66.9552279183011</v>
      </c>
      <c r="T4">
        <f t="shared" si="1"/>
        <v>99.839649575658</v>
      </c>
    </row>
    <row r="5" spans="1:20">
      <c r="A5" s="1" t="s">
        <v>23</v>
      </c>
      <c r="B5">
        <v>1458</v>
      </c>
      <c r="C5">
        <v>1948</v>
      </c>
      <c r="D5">
        <v>6</v>
      </c>
      <c r="E5">
        <v>15</v>
      </c>
      <c r="F5" s="2">
        <v>0.000121</v>
      </c>
      <c r="G5">
        <v>15</v>
      </c>
      <c r="H5" s="4" t="s">
        <v>24</v>
      </c>
      <c r="I5">
        <v>15</v>
      </c>
      <c r="J5" s="4" t="s">
        <v>25</v>
      </c>
      <c r="K5">
        <v>1</v>
      </c>
      <c r="L5">
        <v>0</v>
      </c>
      <c r="M5">
        <v>0.005065</v>
      </c>
      <c r="N5">
        <v>5</v>
      </c>
      <c r="O5" s="2">
        <v>0.000382</v>
      </c>
      <c r="P5">
        <v>5</v>
      </c>
      <c r="Q5">
        <v>0.013703</v>
      </c>
      <c r="S5">
        <f t="shared" si="0"/>
        <v>99.5884773662551</v>
      </c>
      <c r="T5">
        <f t="shared" si="1"/>
        <v>99.2299794661191</v>
      </c>
    </row>
    <row r="6" spans="1:20">
      <c r="A6" s="1" t="s">
        <v>26</v>
      </c>
      <c r="B6">
        <v>17903</v>
      </c>
      <c r="C6">
        <v>196972</v>
      </c>
      <c r="D6">
        <v>316</v>
      </c>
      <c r="E6">
        <v>8755</v>
      </c>
      <c r="F6" s="2">
        <v>0.003866</v>
      </c>
      <c r="G6">
        <v>8445</v>
      </c>
      <c r="H6" s="2">
        <v>0.028708</v>
      </c>
      <c r="I6">
        <v>8445</v>
      </c>
      <c r="J6">
        <v>1.45943</v>
      </c>
      <c r="K6">
        <v>3603</v>
      </c>
      <c r="L6">
        <v>1801</v>
      </c>
      <c r="M6">
        <v>114.522</v>
      </c>
      <c r="N6">
        <v>48</v>
      </c>
      <c r="O6" s="2">
        <v>0.022335</v>
      </c>
      <c r="P6">
        <v>50</v>
      </c>
      <c r="Q6">
        <v>116.221</v>
      </c>
      <c r="S6">
        <f t="shared" si="0"/>
        <v>98.2349326928448</v>
      </c>
      <c r="T6">
        <f t="shared" si="1"/>
        <v>95.7125885912719</v>
      </c>
    </row>
    <row r="7" spans="1:20">
      <c r="A7" s="1" t="s">
        <v>27</v>
      </c>
      <c r="B7">
        <v>227320</v>
      </c>
      <c r="C7">
        <v>814134</v>
      </c>
      <c r="D7">
        <v>597</v>
      </c>
      <c r="E7">
        <v>20250</v>
      </c>
      <c r="F7">
        <v>0.022265</v>
      </c>
      <c r="G7">
        <v>19906</v>
      </c>
      <c r="H7">
        <v>0.078092</v>
      </c>
      <c r="I7">
        <v>19906</v>
      </c>
      <c r="J7">
        <v>2.61754</v>
      </c>
      <c r="K7">
        <v>3862</v>
      </c>
      <c r="L7">
        <v>0</v>
      </c>
      <c r="M7">
        <v>-1</v>
      </c>
      <c r="N7">
        <v>55</v>
      </c>
      <c r="O7">
        <v>0.081147</v>
      </c>
      <c r="P7">
        <v>57</v>
      </c>
      <c r="Q7">
        <v>600</v>
      </c>
      <c r="S7">
        <f t="shared" si="0"/>
        <v>99.7373746260778</v>
      </c>
      <c r="T7">
        <f t="shared" si="1"/>
        <v>97.5549479569702</v>
      </c>
    </row>
    <row r="8" spans="1:20">
      <c r="A8" s="1" t="s">
        <v>28</v>
      </c>
      <c r="B8">
        <v>21363</v>
      </c>
      <c r="C8">
        <v>91286</v>
      </c>
      <c r="D8">
        <v>133</v>
      </c>
      <c r="E8">
        <v>1556</v>
      </c>
      <c r="F8">
        <v>0.001637</v>
      </c>
      <c r="G8">
        <v>1140</v>
      </c>
      <c r="H8">
        <v>0.002413</v>
      </c>
      <c r="I8">
        <v>1140</v>
      </c>
      <c r="J8">
        <v>0.135182</v>
      </c>
      <c r="K8">
        <v>693</v>
      </c>
      <c r="L8">
        <v>16</v>
      </c>
      <c r="M8">
        <v>0.042175</v>
      </c>
      <c r="N8">
        <v>17</v>
      </c>
      <c r="O8">
        <v>0.007372</v>
      </c>
      <c r="P8">
        <v>20</v>
      </c>
      <c r="Q8">
        <v>0.220283</v>
      </c>
      <c r="S8">
        <f t="shared" si="0"/>
        <v>99.3774282638206</v>
      </c>
      <c r="T8">
        <f t="shared" si="1"/>
        <v>98.7511776175974</v>
      </c>
    </row>
    <row r="9" spans="1:20">
      <c r="A9" s="1" t="s">
        <v>29</v>
      </c>
      <c r="B9">
        <v>1882</v>
      </c>
      <c r="C9">
        <v>1740</v>
      </c>
      <c r="D9">
        <v>23</v>
      </c>
      <c r="E9">
        <v>14</v>
      </c>
      <c r="F9" s="4" t="s">
        <v>30</v>
      </c>
      <c r="G9">
        <v>0</v>
      </c>
      <c r="H9" s="4" t="s">
        <v>31</v>
      </c>
      <c r="I9">
        <v>0</v>
      </c>
      <c r="J9">
        <v>0</v>
      </c>
      <c r="K9">
        <v>0</v>
      </c>
      <c r="L9">
        <v>0</v>
      </c>
      <c r="M9">
        <v>0.002204</v>
      </c>
      <c r="N9">
        <v>3</v>
      </c>
      <c r="O9">
        <v>0.000125</v>
      </c>
      <c r="P9">
        <v>3</v>
      </c>
      <c r="Q9">
        <v>0.002919</v>
      </c>
      <c r="S9">
        <f t="shared" si="0"/>
        <v>98.7778958554729</v>
      </c>
      <c r="T9">
        <f t="shared" si="1"/>
        <v>100</v>
      </c>
    </row>
    <row r="10" spans="1:20">
      <c r="A10" s="1" t="s">
        <v>32</v>
      </c>
      <c r="B10">
        <v>226413</v>
      </c>
      <c r="C10">
        <v>716460</v>
      </c>
      <c r="D10">
        <v>401</v>
      </c>
      <c r="E10">
        <v>12147</v>
      </c>
      <c r="F10">
        <v>0.011258</v>
      </c>
      <c r="G10">
        <v>11530</v>
      </c>
      <c r="H10">
        <v>0.04161</v>
      </c>
      <c r="I10">
        <v>11530</v>
      </c>
      <c r="J10">
        <v>2.21967</v>
      </c>
      <c r="K10">
        <v>5567</v>
      </c>
      <c r="L10">
        <v>0</v>
      </c>
      <c r="M10">
        <v>-1</v>
      </c>
      <c r="N10">
        <v>46</v>
      </c>
      <c r="O10">
        <v>0.063305</v>
      </c>
      <c r="P10">
        <v>48</v>
      </c>
      <c r="Q10">
        <v>600</v>
      </c>
      <c r="S10">
        <f t="shared" si="0"/>
        <v>99.8228900283994</v>
      </c>
      <c r="T10">
        <f t="shared" si="1"/>
        <v>98.3906987131173</v>
      </c>
    </row>
    <row r="11" spans="1:20">
      <c r="A11" s="1" t="s">
        <v>33</v>
      </c>
      <c r="B11">
        <v>5094</v>
      </c>
      <c r="C11">
        <v>7515</v>
      </c>
      <c r="D11">
        <v>77</v>
      </c>
      <c r="E11">
        <v>356</v>
      </c>
      <c r="F11">
        <v>0.000154</v>
      </c>
      <c r="G11">
        <v>60</v>
      </c>
      <c r="H11">
        <v>0.000196</v>
      </c>
      <c r="I11">
        <v>46</v>
      </c>
      <c r="J11">
        <v>0.017184</v>
      </c>
      <c r="K11">
        <v>94</v>
      </c>
      <c r="L11">
        <v>5</v>
      </c>
      <c r="M11">
        <v>0.003446</v>
      </c>
      <c r="N11">
        <v>6</v>
      </c>
      <c r="O11">
        <v>0.000387</v>
      </c>
      <c r="P11">
        <v>7</v>
      </c>
      <c r="Q11">
        <v>0.023778</v>
      </c>
      <c r="S11">
        <f t="shared" si="0"/>
        <v>98.4884177463683</v>
      </c>
      <c r="T11">
        <f t="shared" si="1"/>
        <v>99.3878908848969</v>
      </c>
    </row>
    <row r="12" spans="1:20">
      <c r="A12" s="1" t="s">
        <v>34</v>
      </c>
      <c r="B12">
        <v>4158</v>
      </c>
      <c r="C12">
        <v>13422</v>
      </c>
      <c r="D12">
        <v>46</v>
      </c>
      <c r="E12">
        <v>1030</v>
      </c>
      <c r="F12">
        <v>0.000246</v>
      </c>
      <c r="G12">
        <v>1030</v>
      </c>
      <c r="H12">
        <v>0.002404</v>
      </c>
      <c r="I12">
        <v>1030</v>
      </c>
      <c r="J12">
        <v>0.00387</v>
      </c>
      <c r="K12">
        <v>48</v>
      </c>
      <c r="L12">
        <v>0</v>
      </c>
      <c r="M12">
        <v>0.009922</v>
      </c>
      <c r="N12">
        <v>42</v>
      </c>
      <c r="O12">
        <v>0.000955</v>
      </c>
      <c r="P12">
        <v>42</v>
      </c>
      <c r="Q12">
        <v>0.028119</v>
      </c>
      <c r="S12">
        <f t="shared" si="0"/>
        <v>98.8936988936989</v>
      </c>
      <c r="T12">
        <f t="shared" si="1"/>
        <v>92.3260318879452</v>
      </c>
    </row>
    <row r="13" spans="1:20">
      <c r="A13" s="1" t="s">
        <v>35</v>
      </c>
      <c r="B13">
        <v>11204</v>
      </c>
      <c r="C13">
        <v>117619</v>
      </c>
      <c r="D13">
        <v>239</v>
      </c>
      <c r="E13">
        <v>28441</v>
      </c>
      <c r="F13" s="2">
        <v>0.004432</v>
      </c>
      <c r="G13">
        <v>28441</v>
      </c>
      <c r="H13">
        <v>0.426094</v>
      </c>
      <c r="I13">
        <v>28441</v>
      </c>
      <c r="J13">
        <v>0.000516</v>
      </c>
      <c r="K13">
        <v>25</v>
      </c>
      <c r="L13">
        <v>14</v>
      </c>
      <c r="M13">
        <v>11.8413</v>
      </c>
      <c r="N13">
        <v>227</v>
      </c>
      <c r="O13">
        <v>0.021796</v>
      </c>
      <c r="P13">
        <v>227</v>
      </c>
      <c r="Q13">
        <v>15.6921</v>
      </c>
      <c r="S13">
        <f t="shared" si="0"/>
        <v>97.8668332738308</v>
      </c>
      <c r="T13">
        <f t="shared" si="1"/>
        <v>75.8193829228271</v>
      </c>
    </row>
    <row r="14" spans="1:20">
      <c r="A14" s="1" t="s">
        <v>36</v>
      </c>
      <c r="B14">
        <v>332689</v>
      </c>
      <c r="C14">
        <v>820644</v>
      </c>
      <c r="D14">
        <v>553</v>
      </c>
      <c r="E14">
        <v>5339</v>
      </c>
      <c r="F14">
        <v>0.019737</v>
      </c>
      <c r="G14">
        <v>4267</v>
      </c>
      <c r="H14">
        <v>0.005993</v>
      </c>
      <c r="I14">
        <v>4266</v>
      </c>
      <c r="J14">
        <v>0.19678</v>
      </c>
      <c r="K14">
        <v>2098</v>
      </c>
      <c r="L14">
        <v>327</v>
      </c>
      <c r="M14">
        <v>4.36185</v>
      </c>
      <c r="N14">
        <v>15</v>
      </c>
      <c r="O14">
        <v>0.092546</v>
      </c>
      <c r="P14">
        <v>16</v>
      </c>
      <c r="Q14">
        <v>5.22499</v>
      </c>
      <c r="S14">
        <f t="shared" si="0"/>
        <v>99.8337786942159</v>
      </c>
      <c r="T14">
        <f t="shared" si="1"/>
        <v>99.4801643587231</v>
      </c>
    </row>
    <row r="15" spans="1:20">
      <c r="A15" s="1" t="s">
        <v>37</v>
      </c>
      <c r="B15">
        <v>379</v>
      </c>
      <c r="C15">
        <v>914</v>
      </c>
      <c r="D15">
        <v>9</v>
      </c>
      <c r="E15">
        <v>36</v>
      </c>
      <c r="F15" s="2">
        <v>2.3e-5</v>
      </c>
      <c r="G15">
        <v>36</v>
      </c>
      <c r="H15" s="2">
        <v>2.2e-5</v>
      </c>
      <c r="I15">
        <v>36</v>
      </c>
      <c r="J15" s="4" t="s">
        <v>25</v>
      </c>
      <c r="K15">
        <v>1</v>
      </c>
      <c r="L15">
        <v>0</v>
      </c>
      <c r="M15">
        <v>0.00297</v>
      </c>
      <c r="N15">
        <v>8</v>
      </c>
      <c r="O15" s="2">
        <v>6.3e-5</v>
      </c>
      <c r="P15">
        <v>8</v>
      </c>
      <c r="Q15">
        <v>0.015393</v>
      </c>
      <c r="S15">
        <f t="shared" si="0"/>
        <v>97.6253298153034</v>
      </c>
      <c r="T15">
        <f t="shared" si="1"/>
        <v>96.0612691466083</v>
      </c>
    </row>
    <row r="16" spans="1:20">
      <c r="A16" s="1" t="s">
        <v>38</v>
      </c>
      <c r="B16">
        <v>32430</v>
      </c>
      <c r="C16">
        <v>54397</v>
      </c>
      <c r="D16">
        <v>804</v>
      </c>
      <c r="E16">
        <v>11528</v>
      </c>
      <c r="F16" s="2">
        <v>0.002279</v>
      </c>
      <c r="G16">
        <v>4237</v>
      </c>
      <c r="H16">
        <v>0.020382</v>
      </c>
      <c r="I16">
        <v>3740</v>
      </c>
      <c r="J16">
        <v>0.125146</v>
      </c>
      <c r="K16">
        <v>321</v>
      </c>
      <c r="L16">
        <v>112</v>
      </c>
      <c r="M16">
        <v>0.178777</v>
      </c>
      <c r="N16">
        <v>9</v>
      </c>
      <c r="O16" s="2">
        <v>0.002664</v>
      </c>
      <c r="P16">
        <v>10</v>
      </c>
      <c r="Q16">
        <v>0.386047</v>
      </c>
      <c r="S16">
        <f t="shared" si="0"/>
        <v>97.5208140610546</v>
      </c>
      <c r="T16">
        <f t="shared" si="1"/>
        <v>93.1246208430612</v>
      </c>
    </row>
    <row r="17" spans="1:20">
      <c r="A17" s="1" t="s">
        <v>39</v>
      </c>
      <c r="B17">
        <v>1133</v>
      </c>
      <c r="C17">
        <v>5451</v>
      </c>
      <c r="D17">
        <v>468</v>
      </c>
      <c r="E17">
        <v>3420</v>
      </c>
      <c r="F17" s="2">
        <v>0.000486</v>
      </c>
      <c r="G17">
        <v>445</v>
      </c>
      <c r="H17">
        <v>0.00237</v>
      </c>
      <c r="I17">
        <v>166</v>
      </c>
      <c r="J17" s="2">
        <v>0.05758</v>
      </c>
      <c r="K17">
        <v>334</v>
      </c>
      <c r="L17">
        <v>3</v>
      </c>
      <c r="M17">
        <v>0.004982</v>
      </c>
      <c r="N17">
        <v>7</v>
      </c>
      <c r="O17">
        <v>0.000339</v>
      </c>
      <c r="P17">
        <v>11</v>
      </c>
      <c r="Q17">
        <v>0.067861</v>
      </c>
      <c r="S17">
        <f t="shared" si="0"/>
        <v>58.693733451015</v>
      </c>
      <c r="T17">
        <f t="shared" si="1"/>
        <v>96.9546872133554</v>
      </c>
    </row>
    <row r="18" spans="1:20">
      <c r="A18" s="1" t="s">
        <v>40</v>
      </c>
      <c r="B18">
        <v>33696</v>
      </c>
      <c r="C18">
        <v>180811</v>
      </c>
      <c r="D18">
        <v>3347</v>
      </c>
      <c r="E18">
        <v>85425</v>
      </c>
      <c r="F18">
        <v>0.014371</v>
      </c>
      <c r="G18">
        <v>40782</v>
      </c>
      <c r="H18">
        <v>0.302772</v>
      </c>
      <c r="I18">
        <v>40301</v>
      </c>
      <c r="J18">
        <v>0.226929</v>
      </c>
      <c r="K18">
        <v>453</v>
      </c>
      <c r="L18">
        <v>297</v>
      </c>
      <c r="M18">
        <v>66.6084</v>
      </c>
      <c r="N18">
        <v>14</v>
      </c>
      <c r="O18">
        <v>0.014251</v>
      </c>
      <c r="P18">
        <v>15</v>
      </c>
      <c r="Q18">
        <v>67.4437</v>
      </c>
      <c r="S18">
        <f t="shared" si="0"/>
        <v>90.0670702754036</v>
      </c>
      <c r="T18">
        <f t="shared" si="1"/>
        <v>77.7109799735636</v>
      </c>
    </row>
    <row r="19" spans="1:20">
      <c r="A19" s="1" t="s">
        <v>41</v>
      </c>
      <c r="B19">
        <v>143</v>
      </c>
      <c r="C19">
        <v>623</v>
      </c>
      <c r="D19">
        <v>80</v>
      </c>
      <c r="E19">
        <v>442</v>
      </c>
      <c r="F19" s="2">
        <v>6.1e-5</v>
      </c>
      <c r="G19">
        <v>139</v>
      </c>
      <c r="H19" s="2">
        <v>0.000317</v>
      </c>
      <c r="I19">
        <v>105</v>
      </c>
      <c r="J19">
        <v>0.019351</v>
      </c>
      <c r="K19">
        <v>144</v>
      </c>
      <c r="L19">
        <v>1</v>
      </c>
      <c r="M19">
        <v>0.005163</v>
      </c>
      <c r="N19">
        <v>6</v>
      </c>
      <c r="O19" s="2">
        <v>4.1e-5</v>
      </c>
      <c r="P19">
        <v>7</v>
      </c>
      <c r="Q19">
        <v>0.029839</v>
      </c>
      <c r="S19">
        <f t="shared" si="0"/>
        <v>44.0559440559441</v>
      </c>
      <c r="T19">
        <f t="shared" si="1"/>
        <v>83.1460674157303</v>
      </c>
    </row>
    <row r="20" spans="1:20">
      <c r="A20" s="1" t="s">
        <v>42</v>
      </c>
      <c r="B20">
        <v>1266</v>
      </c>
      <c r="C20">
        <v>6451</v>
      </c>
      <c r="D20">
        <v>761</v>
      </c>
      <c r="E20">
        <v>5580</v>
      </c>
      <c r="F20" s="2">
        <v>0.001164</v>
      </c>
      <c r="G20">
        <v>689</v>
      </c>
      <c r="H20" s="2">
        <v>0.004689</v>
      </c>
      <c r="I20">
        <v>141</v>
      </c>
      <c r="J20">
        <v>0.029183</v>
      </c>
      <c r="K20">
        <v>53</v>
      </c>
      <c r="L20">
        <v>0</v>
      </c>
      <c r="M20">
        <v>0.001432</v>
      </c>
      <c r="N20">
        <v>4</v>
      </c>
      <c r="O20" s="2">
        <v>0.000642</v>
      </c>
      <c r="P20">
        <v>5</v>
      </c>
      <c r="Q20">
        <v>0.041326</v>
      </c>
      <c r="S20">
        <f t="shared" si="0"/>
        <v>39.8894154818325</v>
      </c>
      <c r="T20">
        <f t="shared" si="1"/>
        <v>97.814292357774</v>
      </c>
    </row>
    <row r="21" spans="1:20">
      <c r="A21" s="1" t="s">
        <v>43</v>
      </c>
      <c r="B21">
        <v>410</v>
      </c>
      <c r="C21">
        <v>2765</v>
      </c>
      <c r="D21">
        <v>32</v>
      </c>
      <c r="E21">
        <v>351</v>
      </c>
      <c r="F21" s="2">
        <v>7.4e-5</v>
      </c>
      <c r="G21">
        <v>120</v>
      </c>
      <c r="H21" s="2">
        <v>0.000497</v>
      </c>
      <c r="I21">
        <v>120</v>
      </c>
      <c r="J21">
        <v>0.02016</v>
      </c>
      <c r="K21">
        <v>67</v>
      </c>
      <c r="L21">
        <v>0</v>
      </c>
      <c r="M21">
        <v>0.005256</v>
      </c>
      <c r="N21">
        <v>15</v>
      </c>
      <c r="O21" s="2">
        <v>0.000207</v>
      </c>
      <c r="P21">
        <v>15</v>
      </c>
      <c r="Q21">
        <v>0.040596</v>
      </c>
      <c r="S21">
        <f t="shared" si="0"/>
        <v>92.1951219512195</v>
      </c>
      <c r="T21">
        <f t="shared" si="1"/>
        <v>95.6600361663653</v>
      </c>
    </row>
    <row r="22" spans="1:20">
      <c r="A22" s="1" t="s">
        <v>44</v>
      </c>
      <c r="B22">
        <v>113</v>
      </c>
      <c r="C22">
        <v>2196</v>
      </c>
      <c r="D22">
        <v>108</v>
      </c>
      <c r="E22">
        <v>2149</v>
      </c>
      <c r="F22">
        <v>0.000242</v>
      </c>
      <c r="G22">
        <v>1514</v>
      </c>
      <c r="H22">
        <v>0.005401</v>
      </c>
      <c r="I22">
        <v>1269</v>
      </c>
      <c r="J22">
        <v>0.149107</v>
      </c>
      <c r="K22">
        <v>304</v>
      </c>
      <c r="L22">
        <v>3</v>
      </c>
      <c r="M22">
        <v>0.009397</v>
      </c>
      <c r="N22">
        <v>13</v>
      </c>
      <c r="O22">
        <v>0.000174</v>
      </c>
      <c r="P22">
        <v>14</v>
      </c>
      <c r="Q22">
        <v>0.170405</v>
      </c>
      <c r="S22">
        <f t="shared" si="0"/>
        <v>4.42477876106194</v>
      </c>
      <c r="T22">
        <f t="shared" si="1"/>
        <v>42.2131147540984</v>
      </c>
    </row>
    <row r="23" spans="1:20">
      <c r="A23" s="1" t="s">
        <v>45</v>
      </c>
      <c r="B23">
        <v>6809</v>
      </c>
      <c r="C23">
        <v>7680</v>
      </c>
      <c r="D23">
        <v>139</v>
      </c>
      <c r="E23">
        <v>553</v>
      </c>
      <c r="F23">
        <v>0.000166</v>
      </c>
      <c r="G23">
        <v>71</v>
      </c>
      <c r="H23">
        <v>0.000208</v>
      </c>
      <c r="I23">
        <v>26</v>
      </c>
      <c r="J23" s="2">
        <v>0.011456</v>
      </c>
      <c r="K23">
        <v>27</v>
      </c>
      <c r="L23">
        <v>0</v>
      </c>
      <c r="M23">
        <v>0.002556</v>
      </c>
      <c r="N23">
        <v>4</v>
      </c>
      <c r="O23">
        <v>0.000278</v>
      </c>
      <c r="P23">
        <v>4</v>
      </c>
      <c r="Q23">
        <v>0.016468</v>
      </c>
      <c r="S23">
        <f t="shared" si="0"/>
        <v>97.9585842267587</v>
      </c>
      <c r="T23">
        <f t="shared" si="1"/>
        <v>99.6614583333333</v>
      </c>
    </row>
    <row r="24" spans="1:20">
      <c r="A24" s="1" t="s">
        <v>46</v>
      </c>
      <c r="B24">
        <v>92117</v>
      </c>
      <c r="C24">
        <v>360767</v>
      </c>
      <c r="D24">
        <v>10677</v>
      </c>
      <c r="E24">
        <v>219674</v>
      </c>
      <c r="F24">
        <v>0.039695</v>
      </c>
      <c r="G24">
        <v>84391</v>
      </c>
      <c r="H24">
        <v>0.777705</v>
      </c>
      <c r="I24">
        <v>83990</v>
      </c>
      <c r="J24">
        <v>0.1949</v>
      </c>
      <c r="K24">
        <v>488</v>
      </c>
      <c r="L24">
        <v>0</v>
      </c>
      <c r="M24">
        <v>-1</v>
      </c>
      <c r="N24">
        <v>8</v>
      </c>
      <c r="O24">
        <v>0.03873</v>
      </c>
      <c r="P24">
        <v>12</v>
      </c>
      <c r="Q24">
        <v>600</v>
      </c>
      <c r="S24">
        <f t="shared" si="0"/>
        <v>88.4093055570633</v>
      </c>
      <c r="T24">
        <f t="shared" si="1"/>
        <v>76.719045810731</v>
      </c>
    </row>
    <row r="25" spans="1:20">
      <c r="A25" s="1" t="s">
        <v>47</v>
      </c>
      <c r="B25">
        <v>4941</v>
      </c>
      <c r="C25">
        <v>6594</v>
      </c>
      <c r="D25">
        <v>9</v>
      </c>
      <c r="E25">
        <v>22</v>
      </c>
      <c r="F25">
        <v>0.000147</v>
      </c>
      <c r="G25">
        <v>0</v>
      </c>
      <c r="H25" s="4" t="s">
        <v>48</v>
      </c>
      <c r="I25">
        <v>0</v>
      </c>
      <c r="J25">
        <v>0</v>
      </c>
      <c r="K25">
        <v>0</v>
      </c>
      <c r="L25">
        <v>0</v>
      </c>
      <c r="M25">
        <v>0.001686</v>
      </c>
      <c r="N25">
        <v>6</v>
      </c>
      <c r="O25">
        <v>0.000487</v>
      </c>
      <c r="P25">
        <v>6</v>
      </c>
      <c r="Q25">
        <v>0.003908</v>
      </c>
      <c r="S25">
        <f t="shared" si="0"/>
        <v>99.8178506375228</v>
      </c>
      <c r="T25">
        <f t="shared" si="1"/>
        <v>100</v>
      </c>
    </row>
    <row r="26" spans="1:20">
      <c r="A26" s="1" t="s">
        <v>49</v>
      </c>
      <c r="B26">
        <v>91813</v>
      </c>
      <c r="C26">
        <v>125704</v>
      </c>
      <c r="D26">
        <v>114</v>
      </c>
      <c r="E26">
        <v>136</v>
      </c>
      <c r="F26" s="2">
        <v>0.003689</v>
      </c>
      <c r="G26">
        <v>0</v>
      </c>
      <c r="H26" s="2">
        <v>2.8e-5</v>
      </c>
      <c r="I26">
        <v>0</v>
      </c>
      <c r="J26">
        <v>0</v>
      </c>
      <c r="K26">
        <v>0</v>
      </c>
      <c r="L26">
        <v>0</v>
      </c>
      <c r="M26">
        <v>0.001204</v>
      </c>
      <c r="N26">
        <v>5</v>
      </c>
      <c r="O26" s="2">
        <v>0.012108</v>
      </c>
      <c r="P26">
        <v>5</v>
      </c>
      <c r="Q26">
        <v>0.049535</v>
      </c>
      <c r="S26">
        <f t="shared" si="0"/>
        <v>99.8758345768028</v>
      </c>
      <c r="T26">
        <f t="shared" si="1"/>
        <v>100</v>
      </c>
    </row>
    <row r="27" spans="1:20">
      <c r="A27" s="1" t="s">
        <v>50</v>
      </c>
      <c r="B27">
        <v>96</v>
      </c>
      <c r="C27">
        <v>117</v>
      </c>
      <c r="D27">
        <v>16</v>
      </c>
      <c r="E27">
        <v>26</v>
      </c>
      <c r="F27" s="2">
        <v>1.3e-5</v>
      </c>
      <c r="G27">
        <v>6</v>
      </c>
      <c r="H27" s="4" t="s">
        <v>51</v>
      </c>
      <c r="I27">
        <v>6</v>
      </c>
      <c r="J27" s="2">
        <v>0.004994</v>
      </c>
      <c r="K27">
        <v>7</v>
      </c>
      <c r="L27">
        <v>0</v>
      </c>
      <c r="M27">
        <v>0.008048</v>
      </c>
      <c r="N27">
        <v>3</v>
      </c>
      <c r="O27" s="2">
        <v>1.9e-5</v>
      </c>
      <c r="P27">
        <v>3</v>
      </c>
      <c r="Q27">
        <v>0.018986</v>
      </c>
      <c r="S27">
        <f t="shared" si="0"/>
        <v>83.3333333333333</v>
      </c>
      <c r="T27">
        <f t="shared" si="1"/>
        <v>94.8717948717949</v>
      </c>
    </row>
    <row r="28" spans="1:20">
      <c r="A28" s="1" t="s">
        <v>52</v>
      </c>
      <c r="B28">
        <v>761</v>
      </c>
      <c r="C28">
        <v>1029</v>
      </c>
      <c r="D28">
        <v>51</v>
      </c>
      <c r="E28">
        <v>139</v>
      </c>
      <c r="F28">
        <v>0.000159</v>
      </c>
      <c r="G28">
        <v>13</v>
      </c>
      <c r="H28">
        <v>0.000232</v>
      </c>
      <c r="I28">
        <v>0</v>
      </c>
      <c r="J28" s="4" t="s">
        <v>53</v>
      </c>
      <c r="K28">
        <v>0</v>
      </c>
      <c r="L28">
        <v>0</v>
      </c>
      <c r="M28">
        <v>0.003599</v>
      </c>
      <c r="N28">
        <v>4</v>
      </c>
      <c r="O28">
        <v>0.000285</v>
      </c>
      <c r="P28">
        <v>4</v>
      </c>
      <c r="Q28">
        <v>0.005845</v>
      </c>
      <c r="S28">
        <f t="shared" si="0"/>
        <v>93.2982917214192</v>
      </c>
      <c r="T28">
        <f t="shared" si="1"/>
        <v>100</v>
      </c>
    </row>
    <row r="29" spans="1:20">
      <c r="A29" s="1" t="s">
        <v>54</v>
      </c>
      <c r="B29">
        <v>146</v>
      </c>
      <c r="C29">
        <v>9828</v>
      </c>
      <c r="D29">
        <v>129</v>
      </c>
      <c r="E29">
        <v>8199</v>
      </c>
      <c r="F29" s="2">
        <v>0.000852</v>
      </c>
      <c r="G29">
        <v>7374</v>
      </c>
      <c r="H29" s="2">
        <v>0.059879</v>
      </c>
      <c r="I29">
        <v>7370</v>
      </c>
      <c r="J29">
        <v>5.72303</v>
      </c>
      <c r="K29">
        <v>2635</v>
      </c>
      <c r="L29">
        <v>0</v>
      </c>
      <c r="M29">
        <v>0.814499</v>
      </c>
      <c r="N29">
        <v>119</v>
      </c>
      <c r="O29" s="2">
        <v>0.001911</v>
      </c>
      <c r="P29">
        <v>119</v>
      </c>
      <c r="Q29">
        <v>6.84181</v>
      </c>
      <c r="S29">
        <f t="shared" si="0"/>
        <v>11.6438356164384</v>
      </c>
      <c r="T29">
        <f t="shared" si="1"/>
        <v>25.010175010175</v>
      </c>
    </row>
    <row r="30" spans="1:20">
      <c r="A30" s="1" t="s">
        <v>55</v>
      </c>
      <c r="B30">
        <v>488</v>
      </c>
      <c r="C30">
        <v>71011</v>
      </c>
      <c r="D30">
        <v>339</v>
      </c>
      <c r="E30">
        <v>54548</v>
      </c>
      <c r="F30">
        <v>0.006329</v>
      </c>
      <c r="G30">
        <v>-1</v>
      </c>
      <c r="H30">
        <v>1.53367</v>
      </c>
      <c r="I30">
        <v>-1</v>
      </c>
      <c r="J30">
        <v>-1</v>
      </c>
      <c r="K30">
        <v>0</v>
      </c>
      <c r="L30">
        <v>0</v>
      </c>
      <c r="M30">
        <v>-1</v>
      </c>
      <c r="N30">
        <v>257</v>
      </c>
      <c r="O30">
        <v>0.044412</v>
      </c>
      <c r="P30">
        <v>257</v>
      </c>
      <c r="Q30">
        <v>600</v>
      </c>
      <c r="S30">
        <f t="shared" si="0"/>
        <v>30.5327868852459</v>
      </c>
      <c r="T30">
        <f t="shared" si="1"/>
        <v>100.001408232527</v>
      </c>
    </row>
    <row r="31" spans="1:20">
      <c r="A31" s="1" t="s">
        <v>56</v>
      </c>
      <c r="B31">
        <v>1303</v>
      </c>
      <c r="C31">
        <v>531893</v>
      </c>
      <c r="D31">
        <v>820</v>
      </c>
      <c r="E31">
        <v>325713</v>
      </c>
      <c r="F31">
        <v>0.045235</v>
      </c>
      <c r="G31">
        <v>325670</v>
      </c>
      <c r="H31">
        <v>31.5907</v>
      </c>
      <c r="I31">
        <v>325668</v>
      </c>
      <c r="J31">
        <v>60.4861</v>
      </c>
      <c r="K31">
        <v>14693</v>
      </c>
      <c r="L31">
        <v>0</v>
      </c>
      <c r="M31">
        <v>-1</v>
      </c>
      <c r="N31">
        <v>631</v>
      </c>
      <c r="O31">
        <v>0.949977</v>
      </c>
      <c r="P31">
        <v>658</v>
      </c>
      <c r="Q31">
        <v>600</v>
      </c>
      <c r="S31">
        <f t="shared" si="0"/>
        <v>37.0683039140445</v>
      </c>
      <c r="T31">
        <f t="shared" si="1"/>
        <v>38.7718958512332</v>
      </c>
    </row>
    <row r="32" spans="1:20">
      <c r="A32" s="1" t="s">
        <v>57</v>
      </c>
      <c r="B32">
        <v>10972</v>
      </c>
      <c r="C32">
        <v>175573</v>
      </c>
      <c r="D32">
        <v>167</v>
      </c>
      <c r="E32">
        <v>6771</v>
      </c>
      <c r="F32" s="2">
        <v>0.002249</v>
      </c>
      <c r="G32">
        <v>6770</v>
      </c>
      <c r="H32" s="2">
        <v>0.031043</v>
      </c>
      <c r="I32">
        <v>6770</v>
      </c>
      <c r="J32" s="2">
        <v>5.92333</v>
      </c>
      <c r="K32">
        <v>4322</v>
      </c>
      <c r="L32">
        <v>2513</v>
      </c>
      <c r="M32">
        <v>213.261</v>
      </c>
      <c r="N32">
        <v>66</v>
      </c>
      <c r="O32" s="2">
        <v>0.023474</v>
      </c>
      <c r="P32">
        <v>68</v>
      </c>
      <c r="Q32">
        <v>219.51</v>
      </c>
      <c r="S32">
        <f t="shared" si="0"/>
        <v>98.4779438570908</v>
      </c>
      <c r="T32">
        <f t="shared" si="1"/>
        <v>96.1440540401998</v>
      </c>
    </row>
    <row r="33" spans="1:20">
      <c r="A33" s="1" t="s">
        <v>58</v>
      </c>
      <c r="B33">
        <v>113</v>
      </c>
      <c r="C33">
        <v>6222</v>
      </c>
      <c r="D33">
        <v>106</v>
      </c>
      <c r="E33">
        <v>5565</v>
      </c>
      <c r="F33" s="2">
        <v>0.000568</v>
      </c>
      <c r="G33">
        <v>5565</v>
      </c>
      <c r="H33">
        <v>0.033035</v>
      </c>
      <c r="I33">
        <v>5565</v>
      </c>
      <c r="J33">
        <v>0.0001</v>
      </c>
      <c r="K33">
        <v>1</v>
      </c>
      <c r="L33">
        <v>0</v>
      </c>
      <c r="M33">
        <v>0.073791</v>
      </c>
      <c r="N33">
        <v>105</v>
      </c>
      <c r="O33" s="2">
        <v>0.000909</v>
      </c>
      <c r="P33">
        <v>105</v>
      </c>
      <c r="Q33">
        <v>0.157338</v>
      </c>
      <c r="S33">
        <f t="shared" si="0"/>
        <v>6.19469026548672</v>
      </c>
      <c r="T33">
        <f t="shared" si="1"/>
        <v>10.5593056894889</v>
      </c>
    </row>
    <row r="34" spans="1:20">
      <c r="A34" s="1" t="s">
        <v>59</v>
      </c>
      <c r="B34">
        <v>1206</v>
      </c>
      <c r="C34">
        <v>65990</v>
      </c>
      <c r="D34">
        <v>280</v>
      </c>
      <c r="E34">
        <v>32575</v>
      </c>
      <c r="F34">
        <v>0.004301</v>
      </c>
      <c r="G34">
        <v>27464</v>
      </c>
      <c r="H34">
        <v>0.67217</v>
      </c>
      <c r="I34">
        <v>27399</v>
      </c>
      <c r="J34">
        <v>201.038</v>
      </c>
      <c r="K34">
        <v>1619</v>
      </c>
      <c r="L34">
        <v>58</v>
      </c>
      <c r="M34">
        <v>7.68839</v>
      </c>
      <c r="N34">
        <v>151</v>
      </c>
      <c r="O34">
        <v>0.022087</v>
      </c>
      <c r="P34">
        <v>159</v>
      </c>
      <c r="Q34">
        <v>210.952</v>
      </c>
      <c r="S34">
        <f t="shared" si="0"/>
        <v>76.7827529021559</v>
      </c>
      <c r="T34">
        <f t="shared" si="1"/>
        <v>58.4800727382937</v>
      </c>
    </row>
    <row r="35" spans="1:20">
      <c r="A35" s="1" t="s">
        <v>60</v>
      </c>
      <c r="B35">
        <v>17151</v>
      </c>
      <c r="C35">
        <v>24015</v>
      </c>
      <c r="D35">
        <v>52</v>
      </c>
      <c r="E35">
        <v>617</v>
      </c>
      <c r="F35" s="2">
        <v>0.000587</v>
      </c>
      <c r="G35">
        <v>442</v>
      </c>
      <c r="H35">
        <v>0.00096</v>
      </c>
      <c r="I35">
        <v>439</v>
      </c>
      <c r="J35">
        <v>0.039558</v>
      </c>
      <c r="K35">
        <v>204</v>
      </c>
      <c r="L35">
        <v>9</v>
      </c>
      <c r="M35">
        <v>0.00894</v>
      </c>
      <c r="N35">
        <v>16</v>
      </c>
      <c r="O35" s="2">
        <v>0.00194</v>
      </c>
      <c r="P35">
        <v>17</v>
      </c>
      <c r="Q35">
        <v>0.059589</v>
      </c>
      <c r="S35">
        <f t="shared" ref="S35:S66" si="2">(1-D35/B35)*100</f>
        <v>99.6968106815929</v>
      </c>
      <c r="T35">
        <f t="shared" ref="T35:T66" si="3">(1-I35/C35)*100</f>
        <v>98.1719758484281</v>
      </c>
    </row>
    <row r="36" spans="1:20">
      <c r="A36" s="1" t="s">
        <v>61</v>
      </c>
      <c r="B36">
        <v>72</v>
      </c>
      <c r="C36">
        <v>355</v>
      </c>
      <c r="D36">
        <v>18</v>
      </c>
      <c r="E36">
        <v>150</v>
      </c>
      <c r="F36" s="4" t="s">
        <v>62</v>
      </c>
      <c r="G36">
        <v>150</v>
      </c>
      <c r="H36">
        <v>0.000139</v>
      </c>
      <c r="I36">
        <v>150</v>
      </c>
      <c r="J36" s="4" t="s">
        <v>63</v>
      </c>
      <c r="K36">
        <v>1</v>
      </c>
      <c r="L36">
        <v>0</v>
      </c>
      <c r="M36">
        <v>0.004472</v>
      </c>
      <c r="N36">
        <v>15</v>
      </c>
      <c r="O36" s="4" t="s">
        <v>64</v>
      </c>
      <c r="P36">
        <v>15</v>
      </c>
      <c r="Q36">
        <v>0.017346</v>
      </c>
      <c r="S36">
        <f t="shared" si="2"/>
        <v>75</v>
      </c>
      <c r="T36">
        <f t="shared" si="3"/>
        <v>57.7464788732394</v>
      </c>
    </row>
    <row r="37" spans="1:20">
      <c r="A37" s="1" t="s">
        <v>65</v>
      </c>
      <c r="B37">
        <v>34</v>
      </c>
      <c r="C37">
        <v>96</v>
      </c>
      <c r="D37">
        <v>12</v>
      </c>
      <c r="E37">
        <v>53</v>
      </c>
      <c r="F37" s="2">
        <v>9e-6</v>
      </c>
      <c r="G37">
        <v>53</v>
      </c>
      <c r="H37" s="2">
        <v>3.8e-5</v>
      </c>
      <c r="I37">
        <v>53</v>
      </c>
      <c r="J37">
        <v>0.002868</v>
      </c>
      <c r="K37">
        <v>22</v>
      </c>
      <c r="L37">
        <v>1</v>
      </c>
      <c r="M37">
        <v>0.0052</v>
      </c>
      <c r="N37">
        <v>7</v>
      </c>
      <c r="O37" s="4" t="s">
        <v>66</v>
      </c>
      <c r="P37">
        <v>7</v>
      </c>
      <c r="Q37">
        <v>0.011649</v>
      </c>
      <c r="S37">
        <f t="shared" si="2"/>
        <v>64.7058823529412</v>
      </c>
      <c r="T37">
        <f t="shared" si="3"/>
        <v>44.7916666666667</v>
      </c>
    </row>
    <row r="38" spans="1:20">
      <c r="A38" s="1" t="s">
        <v>67</v>
      </c>
      <c r="B38">
        <v>72</v>
      </c>
      <c r="C38">
        <v>129</v>
      </c>
      <c r="D38">
        <v>12</v>
      </c>
      <c r="E38">
        <v>53</v>
      </c>
      <c r="F38" s="4" t="s">
        <v>68</v>
      </c>
      <c r="G38">
        <v>35</v>
      </c>
      <c r="H38">
        <v>0.00011</v>
      </c>
      <c r="I38">
        <v>35</v>
      </c>
      <c r="J38">
        <v>0.006543</v>
      </c>
      <c r="K38">
        <v>7</v>
      </c>
      <c r="L38">
        <v>0</v>
      </c>
      <c r="M38">
        <v>0.003345</v>
      </c>
      <c r="N38">
        <v>7</v>
      </c>
      <c r="O38" s="4" t="s">
        <v>69</v>
      </c>
      <c r="P38">
        <v>7</v>
      </c>
      <c r="Q38">
        <v>0.019651</v>
      </c>
      <c r="S38">
        <f t="shared" si="2"/>
        <v>83.3333333333333</v>
      </c>
      <c r="T38">
        <f t="shared" si="3"/>
        <v>72.8682170542636</v>
      </c>
    </row>
    <row r="39" spans="1:20">
      <c r="A39" s="1" t="s">
        <v>70</v>
      </c>
      <c r="B39">
        <v>80</v>
      </c>
      <c r="C39">
        <v>226</v>
      </c>
      <c r="D39">
        <v>18</v>
      </c>
      <c r="E39">
        <v>103</v>
      </c>
      <c r="F39" s="4" t="s">
        <v>24</v>
      </c>
      <c r="G39">
        <v>80</v>
      </c>
      <c r="H39">
        <v>0.00011</v>
      </c>
      <c r="I39">
        <v>80</v>
      </c>
      <c r="J39">
        <v>0.00589</v>
      </c>
      <c r="K39">
        <v>26</v>
      </c>
      <c r="L39">
        <v>2</v>
      </c>
      <c r="M39">
        <v>0.069121</v>
      </c>
      <c r="N39">
        <v>8</v>
      </c>
      <c r="O39" s="4" t="s">
        <v>71</v>
      </c>
      <c r="P39">
        <v>9</v>
      </c>
      <c r="Q39">
        <v>0.079909</v>
      </c>
      <c r="S39">
        <f t="shared" si="2"/>
        <v>77.5</v>
      </c>
      <c r="T39">
        <f t="shared" si="3"/>
        <v>64.6017699115044</v>
      </c>
    </row>
    <row r="40" spans="1:20">
      <c r="A40" s="1" t="s">
        <v>72</v>
      </c>
      <c r="B40">
        <v>34</v>
      </c>
      <c r="C40">
        <v>41</v>
      </c>
      <c r="D40">
        <v>6</v>
      </c>
      <c r="E40">
        <v>14</v>
      </c>
      <c r="F40" s="4" t="s">
        <v>73</v>
      </c>
      <c r="G40">
        <v>14</v>
      </c>
      <c r="H40" s="4" t="s">
        <v>66</v>
      </c>
      <c r="I40">
        <v>14</v>
      </c>
      <c r="J40" s="4" t="s">
        <v>25</v>
      </c>
      <c r="K40">
        <v>2</v>
      </c>
      <c r="L40">
        <v>1</v>
      </c>
      <c r="M40">
        <v>0.006961</v>
      </c>
      <c r="N40">
        <v>4</v>
      </c>
      <c r="O40" s="4" t="s">
        <v>21</v>
      </c>
      <c r="P40">
        <v>4</v>
      </c>
      <c r="Q40">
        <v>0.018969</v>
      </c>
      <c r="S40">
        <f t="shared" si="2"/>
        <v>82.3529411764706</v>
      </c>
      <c r="T40">
        <f t="shared" si="3"/>
        <v>65.8536585365854</v>
      </c>
    </row>
    <row r="41" spans="1:20">
      <c r="A41" s="1" t="s">
        <v>74</v>
      </c>
      <c r="B41">
        <v>31</v>
      </c>
      <c r="C41">
        <v>39</v>
      </c>
      <c r="D41">
        <v>6</v>
      </c>
      <c r="E41">
        <v>15</v>
      </c>
      <c r="F41" s="4" t="s">
        <v>63</v>
      </c>
      <c r="G41">
        <v>15</v>
      </c>
      <c r="H41" s="4" t="s">
        <v>62</v>
      </c>
      <c r="I41">
        <v>15</v>
      </c>
      <c r="J41" s="4" t="s">
        <v>25</v>
      </c>
      <c r="K41">
        <v>1</v>
      </c>
      <c r="L41">
        <v>0</v>
      </c>
      <c r="M41">
        <v>0.002886</v>
      </c>
      <c r="N41">
        <v>5</v>
      </c>
      <c r="O41" s="4" t="s">
        <v>75</v>
      </c>
      <c r="P41">
        <v>5</v>
      </c>
      <c r="Q41">
        <v>0.015412</v>
      </c>
      <c r="S41">
        <f t="shared" si="2"/>
        <v>80.6451612903226</v>
      </c>
      <c r="T41">
        <f t="shared" si="3"/>
        <v>61.5384615384615</v>
      </c>
    </row>
    <row r="42" spans="1:20">
      <c r="A42" s="1" t="s">
        <v>76</v>
      </c>
      <c r="B42">
        <v>135</v>
      </c>
      <c r="C42">
        <v>1078</v>
      </c>
      <c r="D42">
        <v>34</v>
      </c>
      <c r="E42">
        <v>451</v>
      </c>
      <c r="F42" s="4" t="s">
        <v>77</v>
      </c>
      <c r="G42">
        <v>407</v>
      </c>
      <c r="H42">
        <v>0.000729</v>
      </c>
      <c r="I42">
        <v>407</v>
      </c>
      <c r="J42">
        <v>0.014681</v>
      </c>
      <c r="K42">
        <v>31</v>
      </c>
      <c r="L42">
        <v>0</v>
      </c>
      <c r="M42">
        <v>0.006089</v>
      </c>
      <c r="N42">
        <v>21</v>
      </c>
      <c r="O42" s="4" t="s">
        <v>78</v>
      </c>
      <c r="P42">
        <v>21</v>
      </c>
      <c r="Q42">
        <v>0.031109</v>
      </c>
      <c r="S42">
        <f t="shared" si="2"/>
        <v>74.8148148148148</v>
      </c>
      <c r="T42">
        <f t="shared" si="3"/>
        <v>62.2448979591837</v>
      </c>
    </row>
    <row r="43" spans="1:20">
      <c r="A43" s="1" t="s">
        <v>79</v>
      </c>
      <c r="B43">
        <v>13</v>
      </c>
      <c r="C43">
        <v>7</v>
      </c>
      <c r="D43">
        <v>1</v>
      </c>
      <c r="E43">
        <v>0</v>
      </c>
      <c r="F43" s="4" t="s">
        <v>80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0.002152</v>
      </c>
      <c r="N43">
        <v>2</v>
      </c>
      <c r="O43" s="4" t="s">
        <v>73</v>
      </c>
      <c r="P43">
        <v>2</v>
      </c>
      <c r="Q43">
        <v>0.006419</v>
      </c>
      <c r="S43">
        <f t="shared" si="2"/>
        <v>92.3076923076923</v>
      </c>
      <c r="T43">
        <f t="shared" si="3"/>
        <v>100</v>
      </c>
    </row>
    <row r="44" spans="1:20">
      <c r="A44" s="1" t="s">
        <v>81</v>
      </c>
      <c r="B44">
        <v>5</v>
      </c>
      <c r="C44">
        <v>6</v>
      </c>
      <c r="D44">
        <v>4</v>
      </c>
      <c r="E44">
        <v>5</v>
      </c>
      <c r="F44" s="4" t="s">
        <v>82</v>
      </c>
      <c r="G44">
        <v>5</v>
      </c>
      <c r="H44" s="4" t="s">
        <v>68</v>
      </c>
      <c r="I44">
        <v>5</v>
      </c>
      <c r="J44" s="4" t="s">
        <v>80</v>
      </c>
      <c r="K44">
        <v>2</v>
      </c>
      <c r="L44">
        <v>1</v>
      </c>
      <c r="M44">
        <v>0.007999</v>
      </c>
      <c r="N44">
        <v>2</v>
      </c>
      <c r="O44" s="4" t="s">
        <v>66</v>
      </c>
      <c r="P44">
        <v>2</v>
      </c>
      <c r="Q44">
        <v>0.034186</v>
      </c>
      <c r="S44">
        <f t="shared" si="2"/>
        <v>20</v>
      </c>
      <c r="T44">
        <f t="shared" si="3"/>
        <v>16.6666666666667</v>
      </c>
    </row>
    <row r="45" spans="1:20">
      <c r="A45" s="1" t="s">
        <v>83</v>
      </c>
      <c r="B45">
        <v>22</v>
      </c>
      <c r="C45">
        <v>12</v>
      </c>
      <c r="D45">
        <v>2</v>
      </c>
      <c r="E45">
        <v>1</v>
      </c>
      <c r="F45" s="4" t="s">
        <v>80</v>
      </c>
      <c r="G45">
        <v>0</v>
      </c>
      <c r="H45" s="4" t="s">
        <v>84</v>
      </c>
      <c r="I45">
        <v>0</v>
      </c>
      <c r="J45" s="2">
        <v>0</v>
      </c>
      <c r="K45">
        <v>0</v>
      </c>
      <c r="L45">
        <v>0</v>
      </c>
      <c r="M45">
        <v>0.001821</v>
      </c>
      <c r="N45">
        <v>2</v>
      </c>
      <c r="O45" s="4" t="s">
        <v>63</v>
      </c>
      <c r="P45">
        <v>2</v>
      </c>
      <c r="Q45">
        <v>0.005875</v>
      </c>
      <c r="S45">
        <f t="shared" si="2"/>
        <v>90.9090909090909</v>
      </c>
      <c r="T45">
        <f t="shared" si="3"/>
        <v>100</v>
      </c>
    </row>
    <row r="46" spans="1:20">
      <c r="A46" s="1" t="s">
        <v>85</v>
      </c>
      <c r="B46">
        <v>62</v>
      </c>
      <c r="C46">
        <v>442</v>
      </c>
      <c r="D46">
        <v>22</v>
      </c>
      <c r="E46">
        <v>207</v>
      </c>
      <c r="F46" s="2">
        <v>3e-5</v>
      </c>
      <c r="G46">
        <v>168</v>
      </c>
      <c r="H46">
        <v>0.000217</v>
      </c>
      <c r="I46">
        <v>168</v>
      </c>
      <c r="J46" s="2">
        <v>0.007903</v>
      </c>
      <c r="K46">
        <v>15</v>
      </c>
      <c r="L46">
        <v>0</v>
      </c>
      <c r="M46">
        <v>0.005012</v>
      </c>
      <c r="N46">
        <v>16</v>
      </c>
      <c r="O46" s="4" t="s">
        <v>86</v>
      </c>
      <c r="P46">
        <v>16</v>
      </c>
      <c r="Q46">
        <v>0.017691</v>
      </c>
      <c r="S46">
        <f t="shared" si="2"/>
        <v>64.5161290322581</v>
      </c>
      <c r="T46">
        <f t="shared" si="3"/>
        <v>61.9909502262443</v>
      </c>
    </row>
    <row r="47" spans="1:20">
      <c r="A47" s="1" t="s">
        <v>87</v>
      </c>
      <c r="B47">
        <v>21</v>
      </c>
      <c r="C47">
        <v>23</v>
      </c>
      <c r="D47">
        <v>6</v>
      </c>
      <c r="E47">
        <v>15</v>
      </c>
      <c r="F47" s="4" t="s">
        <v>73</v>
      </c>
      <c r="G47">
        <v>15</v>
      </c>
      <c r="H47" s="4" t="s">
        <v>66</v>
      </c>
      <c r="I47">
        <v>15</v>
      </c>
      <c r="J47" s="4" t="s">
        <v>25</v>
      </c>
      <c r="K47">
        <v>1</v>
      </c>
      <c r="L47">
        <v>0</v>
      </c>
      <c r="M47">
        <v>0.003137</v>
      </c>
      <c r="N47">
        <v>5</v>
      </c>
      <c r="O47" s="4" t="s">
        <v>73</v>
      </c>
      <c r="P47">
        <v>5</v>
      </c>
      <c r="Q47">
        <v>0.013465</v>
      </c>
      <c r="S47">
        <f t="shared" si="2"/>
        <v>71.4285714285714</v>
      </c>
      <c r="T47">
        <f t="shared" si="3"/>
        <v>34.7826086956522</v>
      </c>
    </row>
    <row r="48" spans="1:20">
      <c r="A48" s="1" t="s">
        <v>88</v>
      </c>
      <c r="B48">
        <v>10</v>
      </c>
      <c r="C48">
        <v>5</v>
      </c>
      <c r="D48">
        <v>0</v>
      </c>
      <c r="E48">
        <v>0</v>
      </c>
      <c r="F48" s="2">
        <v>1e-6</v>
      </c>
      <c r="G48">
        <v>0</v>
      </c>
      <c r="H48" s="2">
        <v>0</v>
      </c>
      <c r="I48">
        <v>0</v>
      </c>
      <c r="J48">
        <v>0</v>
      </c>
      <c r="K48">
        <v>0</v>
      </c>
      <c r="L48">
        <v>0</v>
      </c>
      <c r="M48">
        <v>0.001956</v>
      </c>
      <c r="N48">
        <v>2</v>
      </c>
      <c r="O48" s="2">
        <v>4e-6</v>
      </c>
      <c r="P48">
        <v>2</v>
      </c>
      <c r="Q48">
        <v>0.009099</v>
      </c>
      <c r="S48">
        <f t="shared" si="2"/>
        <v>100</v>
      </c>
      <c r="T48">
        <f t="shared" si="3"/>
        <v>100</v>
      </c>
    </row>
    <row r="49" spans="1:20">
      <c r="A49" s="1" t="s">
        <v>89</v>
      </c>
      <c r="B49">
        <v>27</v>
      </c>
      <c r="C49">
        <v>26</v>
      </c>
      <c r="D49">
        <v>12</v>
      </c>
      <c r="E49">
        <v>16</v>
      </c>
      <c r="F49" s="4" t="s">
        <v>63</v>
      </c>
      <c r="G49">
        <v>13</v>
      </c>
      <c r="H49" s="4" t="s">
        <v>82</v>
      </c>
      <c r="I49">
        <v>10</v>
      </c>
      <c r="J49">
        <v>0.002833</v>
      </c>
      <c r="K49">
        <v>2</v>
      </c>
      <c r="L49">
        <v>1</v>
      </c>
      <c r="M49">
        <v>0.002511</v>
      </c>
      <c r="N49">
        <v>2</v>
      </c>
      <c r="O49" s="4" t="s">
        <v>73</v>
      </c>
      <c r="P49">
        <v>3</v>
      </c>
      <c r="Q49">
        <v>0.008511</v>
      </c>
      <c r="S49">
        <f t="shared" si="2"/>
        <v>55.5555555555556</v>
      </c>
      <c r="T49">
        <f t="shared" si="3"/>
        <v>61.5384615384615</v>
      </c>
    </row>
    <row r="50" spans="1:20">
      <c r="A50" s="1" t="s">
        <v>90</v>
      </c>
      <c r="B50">
        <v>273</v>
      </c>
      <c r="C50">
        <v>4510</v>
      </c>
      <c r="D50">
        <v>78</v>
      </c>
      <c r="E50">
        <v>2162</v>
      </c>
      <c r="F50" s="2">
        <v>0.000282</v>
      </c>
      <c r="G50">
        <v>2125</v>
      </c>
      <c r="H50" s="2">
        <v>0.007987</v>
      </c>
      <c r="I50">
        <v>2125</v>
      </c>
      <c r="J50">
        <v>0.497982</v>
      </c>
      <c r="K50">
        <v>318</v>
      </c>
      <c r="L50">
        <v>17</v>
      </c>
      <c r="M50">
        <v>0.050993</v>
      </c>
      <c r="N50">
        <v>34</v>
      </c>
      <c r="O50" s="2">
        <v>0.000562</v>
      </c>
      <c r="P50">
        <v>41</v>
      </c>
      <c r="Q50">
        <v>0.581874</v>
      </c>
      <c r="S50">
        <f t="shared" si="2"/>
        <v>71.4285714285714</v>
      </c>
      <c r="T50">
        <f t="shared" si="3"/>
        <v>52.8824833702882</v>
      </c>
    </row>
    <row r="51" spans="1:20">
      <c r="A51" s="1" t="s">
        <v>91</v>
      </c>
      <c r="B51">
        <v>102</v>
      </c>
      <c r="C51">
        <v>108</v>
      </c>
      <c r="D51">
        <v>11</v>
      </c>
      <c r="E51">
        <v>33</v>
      </c>
      <c r="F51" s="4" t="s">
        <v>82</v>
      </c>
      <c r="G51">
        <v>33</v>
      </c>
      <c r="H51" s="4" t="s">
        <v>92</v>
      </c>
      <c r="I51">
        <v>33</v>
      </c>
      <c r="J51">
        <v>0.002743</v>
      </c>
      <c r="K51">
        <v>5</v>
      </c>
      <c r="L51">
        <v>1</v>
      </c>
      <c r="M51">
        <v>0.002727</v>
      </c>
      <c r="N51">
        <v>4</v>
      </c>
      <c r="O51" s="4" t="s">
        <v>48</v>
      </c>
      <c r="P51">
        <v>5</v>
      </c>
      <c r="Q51">
        <v>0.013289</v>
      </c>
      <c r="S51">
        <f t="shared" si="2"/>
        <v>89.2156862745098</v>
      </c>
      <c r="T51">
        <f t="shared" si="3"/>
        <v>69.4444444444444</v>
      </c>
    </row>
    <row r="52" spans="1:20">
      <c r="A52" s="1" t="s">
        <v>93</v>
      </c>
      <c r="B52">
        <v>8</v>
      </c>
      <c r="C52">
        <v>4</v>
      </c>
      <c r="D52">
        <v>0</v>
      </c>
      <c r="E52">
        <v>0</v>
      </c>
      <c r="F52" s="4" t="s">
        <v>25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0.002093</v>
      </c>
      <c r="N52">
        <v>2</v>
      </c>
      <c r="O52" s="4" t="s">
        <v>80</v>
      </c>
      <c r="P52">
        <v>2</v>
      </c>
      <c r="Q52">
        <v>0.006114</v>
      </c>
      <c r="S52">
        <f t="shared" si="2"/>
        <v>100</v>
      </c>
      <c r="T52">
        <f t="shared" si="3"/>
        <v>100</v>
      </c>
    </row>
    <row r="53" spans="1:20">
      <c r="A53" s="1" t="s">
        <v>94</v>
      </c>
      <c r="B53">
        <v>55</v>
      </c>
      <c r="C53">
        <v>60</v>
      </c>
      <c r="D53">
        <v>8</v>
      </c>
      <c r="E53">
        <v>20</v>
      </c>
      <c r="F53" s="4" t="s">
        <v>75</v>
      </c>
      <c r="G53">
        <v>10</v>
      </c>
      <c r="H53" s="4" t="s">
        <v>31</v>
      </c>
      <c r="I53">
        <v>10</v>
      </c>
      <c r="J53">
        <v>0.003419</v>
      </c>
      <c r="K53">
        <v>4</v>
      </c>
      <c r="L53">
        <v>0</v>
      </c>
      <c r="M53">
        <v>0.003009</v>
      </c>
      <c r="N53">
        <v>4</v>
      </c>
      <c r="O53" s="4" t="s">
        <v>82</v>
      </c>
      <c r="P53">
        <v>4</v>
      </c>
      <c r="Q53">
        <v>0.010731</v>
      </c>
      <c r="S53">
        <f t="shared" si="2"/>
        <v>85.4545454545455</v>
      </c>
      <c r="T53">
        <f t="shared" si="3"/>
        <v>83.3333333333333</v>
      </c>
    </row>
    <row r="54" spans="1:20">
      <c r="A54" s="1" t="s">
        <v>95</v>
      </c>
      <c r="B54">
        <v>127</v>
      </c>
      <c r="C54">
        <v>931</v>
      </c>
      <c r="D54">
        <v>38</v>
      </c>
      <c r="E54">
        <v>449</v>
      </c>
      <c r="F54" s="4" t="s">
        <v>96</v>
      </c>
      <c r="G54">
        <v>408</v>
      </c>
      <c r="H54">
        <v>0.00065</v>
      </c>
      <c r="I54">
        <v>408</v>
      </c>
      <c r="J54">
        <v>0.018863</v>
      </c>
      <c r="K54">
        <v>96</v>
      </c>
      <c r="L54">
        <v>2</v>
      </c>
      <c r="M54">
        <v>0.005881</v>
      </c>
      <c r="N54">
        <v>16</v>
      </c>
      <c r="O54" s="4" t="s">
        <v>97</v>
      </c>
      <c r="P54">
        <v>17</v>
      </c>
      <c r="Q54">
        <v>0.036712</v>
      </c>
      <c r="S54">
        <f t="shared" si="2"/>
        <v>70.0787401574803</v>
      </c>
      <c r="T54">
        <f t="shared" si="3"/>
        <v>56.1761546723953</v>
      </c>
    </row>
    <row r="55" spans="1:20">
      <c r="A55" s="1" t="s">
        <v>98</v>
      </c>
      <c r="B55">
        <v>16</v>
      </c>
      <c r="C55">
        <v>13</v>
      </c>
      <c r="D55">
        <v>5</v>
      </c>
      <c r="E55">
        <v>5</v>
      </c>
      <c r="F55" s="4" t="s">
        <v>66</v>
      </c>
      <c r="G55">
        <v>5</v>
      </c>
      <c r="H55" s="4" t="s">
        <v>48</v>
      </c>
      <c r="I55">
        <v>5</v>
      </c>
      <c r="J55" s="4" t="s">
        <v>25</v>
      </c>
      <c r="K55">
        <v>2</v>
      </c>
      <c r="L55">
        <v>1</v>
      </c>
      <c r="M55">
        <v>0.005579</v>
      </c>
      <c r="N55">
        <v>2</v>
      </c>
      <c r="O55" s="4" t="s">
        <v>31</v>
      </c>
      <c r="P55">
        <v>2</v>
      </c>
      <c r="Q55">
        <v>0.018122</v>
      </c>
      <c r="S55">
        <f t="shared" si="2"/>
        <v>68.75</v>
      </c>
      <c r="T55">
        <f t="shared" si="3"/>
        <v>61.5384615384615</v>
      </c>
    </row>
    <row r="56" spans="1:20">
      <c r="A56" s="1" t="s">
        <v>99</v>
      </c>
      <c r="B56">
        <v>35</v>
      </c>
      <c r="C56">
        <v>368</v>
      </c>
      <c r="D56">
        <v>27</v>
      </c>
      <c r="E56">
        <v>351</v>
      </c>
      <c r="F56">
        <v>0.000104</v>
      </c>
      <c r="G56">
        <v>351</v>
      </c>
      <c r="H56">
        <v>0.00153</v>
      </c>
      <c r="I56">
        <v>351</v>
      </c>
      <c r="J56" s="4" t="s">
        <v>100</v>
      </c>
      <c r="K56">
        <v>1</v>
      </c>
      <c r="L56">
        <v>0</v>
      </c>
      <c r="M56">
        <v>0.006851</v>
      </c>
      <c r="N56">
        <v>26</v>
      </c>
      <c r="O56" s="4" t="s">
        <v>101</v>
      </c>
      <c r="P56">
        <v>26</v>
      </c>
      <c r="Q56">
        <v>0.023559</v>
      </c>
      <c r="S56">
        <f t="shared" si="2"/>
        <v>22.8571428571429</v>
      </c>
      <c r="T56">
        <f t="shared" si="3"/>
        <v>4.61956521739131</v>
      </c>
    </row>
    <row r="57" spans="1:20">
      <c r="A57" s="1" t="s">
        <v>102</v>
      </c>
      <c r="B57">
        <v>26</v>
      </c>
      <c r="C57">
        <v>15</v>
      </c>
      <c r="D57">
        <v>3</v>
      </c>
      <c r="E57">
        <v>1</v>
      </c>
      <c r="F57" s="4" t="s">
        <v>80</v>
      </c>
      <c r="G57">
        <v>0</v>
      </c>
      <c r="H57" s="4" t="s">
        <v>25</v>
      </c>
      <c r="I57">
        <v>0</v>
      </c>
      <c r="J57">
        <v>0</v>
      </c>
      <c r="K57">
        <v>0</v>
      </c>
      <c r="L57">
        <v>0</v>
      </c>
      <c r="M57">
        <v>0.001804</v>
      </c>
      <c r="N57">
        <v>2</v>
      </c>
      <c r="O57" s="4" t="s">
        <v>63</v>
      </c>
      <c r="P57">
        <v>2</v>
      </c>
      <c r="Q57">
        <v>0.005201</v>
      </c>
      <c r="S57">
        <f t="shared" si="2"/>
        <v>88.4615384615385</v>
      </c>
      <c r="T57">
        <f t="shared" si="3"/>
        <v>100</v>
      </c>
    </row>
    <row r="58" spans="1:20">
      <c r="A58" s="1" t="s">
        <v>103</v>
      </c>
      <c r="B58">
        <v>14</v>
      </c>
      <c r="C58">
        <v>11</v>
      </c>
      <c r="D58">
        <v>5</v>
      </c>
      <c r="E58">
        <v>3</v>
      </c>
      <c r="F58" s="4" t="s">
        <v>80</v>
      </c>
      <c r="G58">
        <v>3</v>
      </c>
      <c r="H58" s="4" t="s">
        <v>84</v>
      </c>
      <c r="I58">
        <v>3</v>
      </c>
      <c r="J58">
        <v>0</v>
      </c>
      <c r="K58">
        <v>1</v>
      </c>
      <c r="L58">
        <v>0</v>
      </c>
      <c r="M58">
        <v>0.002872</v>
      </c>
      <c r="N58">
        <v>2</v>
      </c>
      <c r="O58" s="4" t="s">
        <v>84</v>
      </c>
      <c r="P58">
        <v>2</v>
      </c>
      <c r="Q58">
        <v>0.014279</v>
      </c>
      <c r="S58">
        <f t="shared" si="2"/>
        <v>64.2857142857143</v>
      </c>
      <c r="T58">
        <f t="shared" si="3"/>
        <v>72.7272727272727</v>
      </c>
    </row>
    <row r="59" spans="1:20">
      <c r="A59" s="1" t="s">
        <v>104</v>
      </c>
      <c r="B59">
        <v>28</v>
      </c>
      <c r="C59">
        <v>91</v>
      </c>
      <c r="D59">
        <v>12</v>
      </c>
      <c r="E59">
        <v>55</v>
      </c>
      <c r="F59" s="2">
        <v>8e-6</v>
      </c>
      <c r="G59">
        <v>55</v>
      </c>
      <c r="H59" s="2">
        <v>4.5e-5</v>
      </c>
      <c r="I59">
        <v>55</v>
      </c>
      <c r="J59" s="2">
        <v>0.002483</v>
      </c>
      <c r="K59">
        <v>21</v>
      </c>
      <c r="L59">
        <v>0</v>
      </c>
      <c r="M59">
        <v>0.002677</v>
      </c>
      <c r="N59">
        <v>7</v>
      </c>
      <c r="O59" s="2">
        <v>8e-6</v>
      </c>
      <c r="P59">
        <v>7</v>
      </c>
      <c r="Q59">
        <v>0.00826</v>
      </c>
      <c r="S59">
        <f t="shared" si="2"/>
        <v>57.1428571428571</v>
      </c>
      <c r="T59">
        <f t="shared" si="3"/>
        <v>39.5604395604396</v>
      </c>
    </row>
    <row r="60" spans="1:20">
      <c r="A60" s="1" t="s">
        <v>105</v>
      </c>
      <c r="B60">
        <v>26</v>
      </c>
      <c r="C60">
        <v>18</v>
      </c>
      <c r="D60">
        <v>6</v>
      </c>
      <c r="E60">
        <v>6</v>
      </c>
      <c r="F60" s="4" t="s">
        <v>106</v>
      </c>
      <c r="G60">
        <v>5</v>
      </c>
      <c r="H60" s="4" t="s">
        <v>31</v>
      </c>
      <c r="I60">
        <v>4</v>
      </c>
      <c r="J60">
        <v>0.004114</v>
      </c>
      <c r="K60">
        <v>1</v>
      </c>
      <c r="L60">
        <v>0</v>
      </c>
      <c r="M60">
        <v>0.002824</v>
      </c>
      <c r="N60">
        <v>2</v>
      </c>
      <c r="O60" s="4" t="s">
        <v>107</v>
      </c>
      <c r="P60">
        <v>2</v>
      </c>
      <c r="Q60">
        <v>0.015911</v>
      </c>
      <c r="S60">
        <f t="shared" si="2"/>
        <v>76.9230769230769</v>
      </c>
      <c r="T60">
        <f t="shared" si="3"/>
        <v>77.7777777777778</v>
      </c>
    </row>
    <row r="61" spans="1:20">
      <c r="A61" s="1" t="s">
        <v>108</v>
      </c>
      <c r="B61">
        <v>13</v>
      </c>
      <c r="C61">
        <v>8</v>
      </c>
      <c r="D61">
        <v>2</v>
      </c>
      <c r="E61">
        <v>1</v>
      </c>
      <c r="F61" s="4" t="s">
        <v>80</v>
      </c>
      <c r="G61">
        <v>0</v>
      </c>
      <c r="H61" s="4" t="s">
        <v>80</v>
      </c>
      <c r="I61">
        <v>0</v>
      </c>
      <c r="J61">
        <v>0</v>
      </c>
      <c r="K61">
        <v>0</v>
      </c>
      <c r="L61">
        <v>0</v>
      </c>
      <c r="M61">
        <v>0.002133</v>
      </c>
      <c r="N61">
        <v>2</v>
      </c>
      <c r="O61" s="4" t="s">
        <v>63</v>
      </c>
      <c r="P61">
        <v>2</v>
      </c>
      <c r="Q61">
        <v>0.01235</v>
      </c>
      <c r="S61">
        <f t="shared" si="2"/>
        <v>84.6153846153846</v>
      </c>
      <c r="T61">
        <f t="shared" si="3"/>
        <v>100</v>
      </c>
    </row>
    <row r="62" spans="1:20">
      <c r="A62" s="1" t="s">
        <v>109</v>
      </c>
      <c r="B62">
        <v>18</v>
      </c>
      <c r="C62">
        <v>12</v>
      </c>
      <c r="D62">
        <v>5</v>
      </c>
      <c r="E62">
        <v>3</v>
      </c>
      <c r="F62" s="2">
        <v>2e-6</v>
      </c>
      <c r="G62">
        <v>3</v>
      </c>
      <c r="H62" s="2">
        <v>3e-6</v>
      </c>
      <c r="I62">
        <v>3</v>
      </c>
      <c r="J62" s="4" t="s">
        <v>25</v>
      </c>
      <c r="K62">
        <v>1</v>
      </c>
      <c r="L62">
        <v>0</v>
      </c>
      <c r="M62">
        <v>0.014778</v>
      </c>
      <c r="N62">
        <v>2</v>
      </c>
      <c r="O62" s="2">
        <v>4e-6</v>
      </c>
      <c r="P62">
        <v>2</v>
      </c>
      <c r="Q62">
        <v>0.022459</v>
      </c>
      <c r="S62">
        <f t="shared" si="2"/>
        <v>72.2222222222222</v>
      </c>
      <c r="T62">
        <f t="shared" si="3"/>
        <v>75</v>
      </c>
    </row>
    <row r="63" spans="1:20">
      <c r="A63" s="1" t="s">
        <v>110</v>
      </c>
      <c r="B63">
        <v>7</v>
      </c>
      <c r="C63">
        <v>5</v>
      </c>
      <c r="D63">
        <v>3</v>
      </c>
      <c r="E63">
        <v>3</v>
      </c>
      <c r="F63" s="2">
        <v>6e-6</v>
      </c>
      <c r="G63">
        <v>3</v>
      </c>
      <c r="H63" s="2">
        <v>3e-6</v>
      </c>
      <c r="I63">
        <v>3</v>
      </c>
      <c r="J63">
        <v>0</v>
      </c>
      <c r="K63">
        <v>1</v>
      </c>
      <c r="L63">
        <v>0</v>
      </c>
      <c r="M63">
        <v>0.002549</v>
      </c>
      <c r="N63">
        <v>2</v>
      </c>
      <c r="O63" s="2">
        <v>9e-6</v>
      </c>
      <c r="P63">
        <v>2</v>
      </c>
      <c r="Q63">
        <v>0.016294</v>
      </c>
      <c r="S63">
        <f t="shared" si="2"/>
        <v>57.1428571428571</v>
      </c>
      <c r="T63">
        <f t="shared" si="3"/>
        <v>40</v>
      </c>
    </row>
    <row r="64" spans="1:20">
      <c r="A64" s="1" t="s">
        <v>111</v>
      </c>
      <c r="B64">
        <v>2623</v>
      </c>
      <c r="C64">
        <v>473614</v>
      </c>
      <c r="D64">
        <v>937</v>
      </c>
      <c r="E64">
        <v>353419</v>
      </c>
      <c r="F64" s="2">
        <v>0.051066</v>
      </c>
      <c r="G64">
        <v>352440</v>
      </c>
      <c r="H64" s="2">
        <v>34.3196</v>
      </c>
      <c r="I64">
        <v>352438</v>
      </c>
      <c r="J64">
        <v>368.425</v>
      </c>
      <c r="K64">
        <v>11759</v>
      </c>
      <c r="L64">
        <v>0</v>
      </c>
      <c r="M64">
        <v>-1</v>
      </c>
      <c r="N64">
        <v>427</v>
      </c>
      <c r="O64" s="2">
        <v>0.902789</v>
      </c>
      <c r="P64">
        <v>427</v>
      </c>
      <c r="Q64">
        <v>600</v>
      </c>
      <c r="S64">
        <f t="shared" si="2"/>
        <v>64.2775447960351</v>
      </c>
      <c r="T64">
        <f t="shared" si="3"/>
        <v>25.5853923237066</v>
      </c>
    </row>
    <row r="65" spans="1:20">
      <c r="A65" s="1" t="s">
        <v>112</v>
      </c>
      <c r="B65">
        <v>56739</v>
      </c>
      <c r="C65">
        <v>212945</v>
      </c>
      <c r="D65">
        <v>1596</v>
      </c>
      <c r="E65">
        <v>36641</v>
      </c>
      <c r="F65" s="2">
        <v>0.00823</v>
      </c>
      <c r="G65">
        <v>14008</v>
      </c>
      <c r="H65" s="2">
        <v>0.125002</v>
      </c>
      <c r="I65">
        <v>13860</v>
      </c>
      <c r="J65">
        <v>1.00184</v>
      </c>
      <c r="K65">
        <v>4361</v>
      </c>
      <c r="L65">
        <v>0</v>
      </c>
      <c r="M65">
        <v>-1</v>
      </c>
      <c r="N65">
        <v>18</v>
      </c>
      <c r="O65" s="2">
        <v>0.017097</v>
      </c>
      <c r="P65">
        <v>26</v>
      </c>
      <c r="Q65">
        <v>600</v>
      </c>
      <c r="S65">
        <f t="shared" si="2"/>
        <v>97.1871199703907</v>
      </c>
      <c r="T65">
        <f t="shared" si="3"/>
        <v>93.4912770903285</v>
      </c>
    </row>
    <row r="66" spans="1:20">
      <c r="A66" s="1" t="s">
        <v>113</v>
      </c>
      <c r="B66">
        <v>62</v>
      </c>
      <c r="C66">
        <v>159</v>
      </c>
      <c r="D66">
        <v>31</v>
      </c>
      <c r="E66">
        <v>90</v>
      </c>
      <c r="F66" s="4" t="s">
        <v>51</v>
      </c>
      <c r="G66">
        <v>0</v>
      </c>
      <c r="H66" s="4" t="s">
        <v>114</v>
      </c>
      <c r="I66">
        <v>0</v>
      </c>
      <c r="J66">
        <v>0</v>
      </c>
      <c r="K66">
        <v>0</v>
      </c>
      <c r="L66">
        <v>0</v>
      </c>
      <c r="M66">
        <v>0.001991</v>
      </c>
      <c r="N66">
        <v>5</v>
      </c>
      <c r="O66" s="4" t="s">
        <v>115</v>
      </c>
      <c r="P66">
        <v>5</v>
      </c>
      <c r="Q66">
        <v>0.005812</v>
      </c>
      <c r="S66">
        <f t="shared" si="2"/>
        <v>50</v>
      </c>
      <c r="T66">
        <f t="shared" si="3"/>
        <v>100</v>
      </c>
    </row>
    <row r="67" spans="1:20">
      <c r="A67" s="1" t="s">
        <v>116</v>
      </c>
      <c r="B67">
        <v>154908</v>
      </c>
      <c r="C67">
        <v>327162</v>
      </c>
      <c r="D67">
        <v>15766</v>
      </c>
      <c r="E67">
        <v>134615</v>
      </c>
      <c r="F67">
        <v>0.027271</v>
      </c>
      <c r="G67">
        <v>5524</v>
      </c>
      <c r="H67">
        <v>0.099501</v>
      </c>
      <c r="I67">
        <v>5022</v>
      </c>
      <c r="J67">
        <v>0.044843</v>
      </c>
      <c r="K67">
        <v>374</v>
      </c>
      <c r="L67">
        <v>229</v>
      </c>
      <c r="M67">
        <v>6.41549</v>
      </c>
      <c r="N67">
        <v>5</v>
      </c>
      <c r="O67">
        <v>0.02631</v>
      </c>
      <c r="P67">
        <v>6</v>
      </c>
      <c r="Q67">
        <v>6.72864</v>
      </c>
      <c r="S67">
        <f t="shared" ref="S67:S96" si="4">(1-D67/B67)*100</f>
        <v>89.822346166757</v>
      </c>
      <c r="T67">
        <f t="shared" ref="T67:T96" si="5">(1-I67/C67)*100</f>
        <v>98.4649806517872</v>
      </c>
    </row>
    <row r="68" spans="1:20">
      <c r="A68" s="1" t="s">
        <v>117</v>
      </c>
      <c r="B68">
        <v>26588</v>
      </c>
      <c r="C68">
        <v>100120</v>
      </c>
      <c r="D68">
        <v>2833</v>
      </c>
      <c r="E68">
        <v>47284</v>
      </c>
      <c r="F68">
        <v>0.007809</v>
      </c>
      <c r="G68">
        <v>10588</v>
      </c>
      <c r="H68">
        <v>0.089458</v>
      </c>
      <c r="I68">
        <v>10112</v>
      </c>
      <c r="J68">
        <v>0.156306</v>
      </c>
      <c r="K68">
        <v>258</v>
      </c>
      <c r="L68">
        <v>81</v>
      </c>
      <c r="M68">
        <v>0.251986</v>
      </c>
      <c r="N68">
        <v>11</v>
      </c>
      <c r="O68">
        <v>0.007635</v>
      </c>
      <c r="P68">
        <v>13</v>
      </c>
      <c r="Q68">
        <v>0.573129</v>
      </c>
      <c r="S68">
        <f t="shared" si="4"/>
        <v>89.3448172107718</v>
      </c>
      <c r="T68">
        <f t="shared" si="5"/>
        <v>89.9001198561726</v>
      </c>
    </row>
    <row r="69" spans="1:20">
      <c r="A69" s="1" t="s">
        <v>118</v>
      </c>
      <c r="B69">
        <v>22900</v>
      </c>
      <c r="C69">
        <v>852419</v>
      </c>
      <c r="D69">
        <v>15178</v>
      </c>
      <c r="E69">
        <v>753030</v>
      </c>
      <c r="F69">
        <v>0.129767</v>
      </c>
      <c r="G69">
        <v>112707</v>
      </c>
      <c r="H69">
        <v>4.47753</v>
      </c>
      <c r="I69">
        <v>112295</v>
      </c>
      <c r="J69">
        <v>0.722309</v>
      </c>
      <c r="K69">
        <v>253</v>
      </c>
      <c r="L69">
        <v>0</v>
      </c>
      <c r="M69">
        <v>-1</v>
      </c>
      <c r="N69">
        <v>28</v>
      </c>
      <c r="O69">
        <v>0.132518</v>
      </c>
      <c r="P69">
        <v>34</v>
      </c>
      <c r="Q69">
        <v>600</v>
      </c>
      <c r="S69">
        <f t="shared" si="4"/>
        <v>33.7205240174672</v>
      </c>
      <c r="T69">
        <f t="shared" si="5"/>
        <v>86.8263142890996</v>
      </c>
    </row>
    <row r="70" spans="1:20">
      <c r="A70" s="1" t="s">
        <v>119</v>
      </c>
      <c r="B70">
        <v>6621</v>
      </c>
      <c r="C70">
        <v>249959</v>
      </c>
      <c r="D70">
        <v>4373</v>
      </c>
      <c r="E70">
        <v>222053</v>
      </c>
      <c r="F70">
        <v>0.035611</v>
      </c>
      <c r="G70">
        <v>62168</v>
      </c>
      <c r="H70">
        <v>1.45309</v>
      </c>
      <c r="I70">
        <v>61701</v>
      </c>
      <c r="J70">
        <v>0.702619</v>
      </c>
      <c r="K70">
        <v>638</v>
      </c>
      <c r="L70">
        <v>355</v>
      </c>
      <c r="M70">
        <v>365.125</v>
      </c>
      <c r="N70">
        <v>28</v>
      </c>
      <c r="O70">
        <v>0.036171</v>
      </c>
      <c r="P70">
        <v>33</v>
      </c>
      <c r="Q70">
        <v>367.803</v>
      </c>
      <c r="S70">
        <f t="shared" si="4"/>
        <v>33.952575139707</v>
      </c>
      <c r="T70">
        <f t="shared" si="5"/>
        <v>75.3155517504871</v>
      </c>
    </row>
    <row r="71" spans="1:20">
      <c r="A71" s="1" t="s">
        <v>120</v>
      </c>
      <c r="B71">
        <v>9885</v>
      </c>
      <c r="C71">
        <v>506437</v>
      </c>
      <c r="D71">
        <v>7752</v>
      </c>
      <c r="E71">
        <v>486246</v>
      </c>
      <c r="F71">
        <v>0.078336</v>
      </c>
      <c r="G71">
        <v>205992</v>
      </c>
      <c r="H71">
        <v>3.66985</v>
      </c>
      <c r="I71">
        <v>205516</v>
      </c>
      <c r="J71">
        <v>0.476431</v>
      </c>
      <c r="K71">
        <v>154</v>
      </c>
      <c r="L71">
        <v>0</v>
      </c>
      <c r="M71">
        <v>-1</v>
      </c>
      <c r="N71">
        <v>24</v>
      </c>
      <c r="O71">
        <v>0.08389</v>
      </c>
      <c r="P71">
        <v>29</v>
      </c>
      <c r="Q71">
        <v>600</v>
      </c>
      <c r="S71">
        <f t="shared" si="4"/>
        <v>21.5781487101669</v>
      </c>
      <c r="T71">
        <f t="shared" si="5"/>
        <v>59.4192367461303</v>
      </c>
    </row>
    <row r="72" spans="1:20">
      <c r="A72" s="1" t="s">
        <v>121</v>
      </c>
      <c r="B72">
        <v>6402</v>
      </c>
      <c r="C72">
        <v>251230</v>
      </c>
      <c r="D72">
        <v>4444</v>
      </c>
      <c r="E72">
        <v>232626</v>
      </c>
      <c r="F72" s="2">
        <v>0.037776</v>
      </c>
      <c r="G72">
        <v>85974</v>
      </c>
      <c r="H72" s="2">
        <v>1.57472</v>
      </c>
      <c r="I72">
        <v>85540</v>
      </c>
      <c r="J72">
        <v>0.504699</v>
      </c>
      <c r="K72">
        <v>586</v>
      </c>
      <c r="L72">
        <v>274</v>
      </c>
      <c r="M72">
        <v>381.905</v>
      </c>
      <c r="N72">
        <v>25</v>
      </c>
      <c r="O72" s="2">
        <v>0.037071</v>
      </c>
      <c r="P72">
        <v>29</v>
      </c>
      <c r="Q72">
        <v>384.696</v>
      </c>
      <c r="S72">
        <f t="shared" si="4"/>
        <v>30.5841924398625</v>
      </c>
      <c r="T72">
        <f t="shared" si="5"/>
        <v>65.9515185288381</v>
      </c>
    </row>
    <row r="73" spans="1:20">
      <c r="A73" s="1" t="s">
        <v>122</v>
      </c>
      <c r="B73">
        <v>63392</v>
      </c>
      <c r="C73">
        <v>816886</v>
      </c>
      <c r="D73">
        <v>19915</v>
      </c>
      <c r="E73">
        <v>575419</v>
      </c>
      <c r="F73" s="2">
        <v>0.117907</v>
      </c>
      <c r="G73">
        <v>163944</v>
      </c>
      <c r="H73" s="2">
        <v>2.15199</v>
      </c>
      <c r="I73">
        <v>163492</v>
      </c>
      <c r="J73">
        <v>0.344846</v>
      </c>
      <c r="K73">
        <v>195</v>
      </c>
      <c r="L73">
        <v>0</v>
      </c>
      <c r="M73">
        <v>-1</v>
      </c>
      <c r="N73">
        <v>17</v>
      </c>
      <c r="O73" s="2">
        <v>0.120839</v>
      </c>
      <c r="P73">
        <v>23</v>
      </c>
      <c r="Q73">
        <v>600</v>
      </c>
      <c r="S73">
        <f t="shared" si="4"/>
        <v>68.5843639575972</v>
      </c>
      <c r="T73">
        <f t="shared" si="5"/>
        <v>79.9859466314761</v>
      </c>
    </row>
    <row r="74" spans="1:20">
      <c r="A74" s="1" t="s">
        <v>123</v>
      </c>
      <c r="B74">
        <v>11586</v>
      </c>
      <c r="C74">
        <v>568309</v>
      </c>
      <c r="D74">
        <v>7630</v>
      </c>
      <c r="E74">
        <v>528147</v>
      </c>
      <c r="F74">
        <v>0.087684</v>
      </c>
      <c r="G74">
        <v>194090</v>
      </c>
      <c r="H74">
        <v>4.41916</v>
      </c>
      <c r="I74">
        <v>193589</v>
      </c>
      <c r="J74">
        <v>0.609339</v>
      </c>
      <c r="K74">
        <v>138</v>
      </c>
      <c r="L74">
        <v>0</v>
      </c>
      <c r="M74">
        <v>-1</v>
      </c>
      <c r="N74">
        <v>28</v>
      </c>
      <c r="O74">
        <v>0.10051</v>
      </c>
      <c r="P74">
        <v>38</v>
      </c>
      <c r="Q74">
        <v>600</v>
      </c>
      <c r="S74">
        <f t="shared" si="4"/>
        <v>34.1446573450716</v>
      </c>
      <c r="T74">
        <f t="shared" si="5"/>
        <v>65.9359608945134</v>
      </c>
    </row>
    <row r="75" spans="1:20">
      <c r="A75" s="1" t="s">
        <v>124</v>
      </c>
      <c r="B75">
        <v>20453</v>
      </c>
      <c r="C75">
        <v>747604</v>
      </c>
      <c r="D75">
        <v>12158</v>
      </c>
      <c r="E75">
        <v>638012</v>
      </c>
      <c r="F75">
        <v>0.108031</v>
      </c>
      <c r="G75">
        <v>97646</v>
      </c>
      <c r="H75">
        <v>3.70468</v>
      </c>
      <c r="I75">
        <v>97219</v>
      </c>
      <c r="J75">
        <v>0.869591</v>
      </c>
      <c r="K75">
        <v>251</v>
      </c>
      <c r="L75">
        <v>0</v>
      </c>
      <c r="M75">
        <v>-1</v>
      </c>
      <c r="N75">
        <v>31</v>
      </c>
      <c r="O75">
        <v>0.111783</v>
      </c>
      <c r="P75">
        <v>37</v>
      </c>
      <c r="Q75">
        <v>600</v>
      </c>
      <c r="S75">
        <f t="shared" si="4"/>
        <v>40.5563975944849</v>
      </c>
      <c r="T75">
        <f t="shared" si="5"/>
        <v>86.995922975265</v>
      </c>
    </row>
    <row r="76" spans="1:20">
      <c r="A76" s="1" t="s">
        <v>125</v>
      </c>
      <c r="B76">
        <v>17206</v>
      </c>
      <c r="C76">
        <v>604867</v>
      </c>
      <c r="D76">
        <v>11698</v>
      </c>
      <c r="E76">
        <v>525842</v>
      </c>
      <c r="F76" s="2">
        <v>0.1021</v>
      </c>
      <c r="G76">
        <v>56021</v>
      </c>
      <c r="H76" s="2">
        <v>2.5884</v>
      </c>
      <c r="I76">
        <v>55623</v>
      </c>
      <c r="J76">
        <v>0.933341</v>
      </c>
      <c r="K76">
        <v>1415</v>
      </c>
      <c r="L76">
        <v>0</v>
      </c>
      <c r="M76">
        <v>-1</v>
      </c>
      <c r="N76">
        <v>29</v>
      </c>
      <c r="O76" s="2">
        <v>0.091246</v>
      </c>
      <c r="P76">
        <v>35</v>
      </c>
      <c r="Q76">
        <v>600</v>
      </c>
      <c r="S76">
        <f t="shared" si="4"/>
        <v>32.0120888062304</v>
      </c>
      <c r="T76">
        <f t="shared" si="5"/>
        <v>90.8040941231709</v>
      </c>
    </row>
    <row r="77" spans="1:20">
      <c r="A77" s="1" t="s">
        <v>126</v>
      </c>
      <c r="B77">
        <v>14917</v>
      </c>
      <c r="C77">
        <v>482215</v>
      </c>
      <c r="D77">
        <v>7863</v>
      </c>
      <c r="E77">
        <v>363976</v>
      </c>
      <c r="F77" s="2">
        <v>0.062896</v>
      </c>
      <c r="G77">
        <v>33502</v>
      </c>
      <c r="H77" s="2">
        <v>1.89699</v>
      </c>
      <c r="I77">
        <v>33324</v>
      </c>
      <c r="J77">
        <v>2.27284</v>
      </c>
      <c r="K77">
        <v>2440</v>
      </c>
      <c r="L77">
        <v>0</v>
      </c>
      <c r="M77">
        <v>-1</v>
      </c>
      <c r="N77">
        <v>36</v>
      </c>
      <c r="O77" s="2">
        <v>0.068683</v>
      </c>
      <c r="P77">
        <v>40</v>
      </c>
      <c r="Q77">
        <v>600</v>
      </c>
      <c r="S77">
        <f t="shared" si="4"/>
        <v>47.2883287524301</v>
      </c>
      <c r="T77">
        <f t="shared" si="5"/>
        <v>93.0893895876321</v>
      </c>
    </row>
    <row r="78" spans="1:20">
      <c r="A78" s="1" t="s">
        <v>127</v>
      </c>
      <c r="B78">
        <v>23831</v>
      </c>
      <c r="C78">
        <v>835946</v>
      </c>
      <c r="D78">
        <v>17487</v>
      </c>
      <c r="E78">
        <v>763105</v>
      </c>
      <c r="F78">
        <v>0.138027</v>
      </c>
      <c r="G78">
        <v>133328</v>
      </c>
      <c r="H78">
        <v>3.82291</v>
      </c>
      <c r="I78">
        <v>132888</v>
      </c>
      <c r="J78">
        <v>0.478392</v>
      </c>
      <c r="K78">
        <v>215</v>
      </c>
      <c r="L78">
        <v>0</v>
      </c>
      <c r="M78">
        <v>-1</v>
      </c>
      <c r="N78">
        <v>24</v>
      </c>
      <c r="O78">
        <v>0.119709</v>
      </c>
      <c r="P78">
        <v>30</v>
      </c>
      <c r="Q78">
        <v>600</v>
      </c>
      <c r="S78">
        <f t="shared" si="4"/>
        <v>26.6207880491796</v>
      </c>
      <c r="T78">
        <f t="shared" si="5"/>
        <v>84.10327939843</v>
      </c>
    </row>
    <row r="79" spans="1:20">
      <c r="A79" s="1" t="s">
        <v>128</v>
      </c>
      <c r="B79">
        <v>196591</v>
      </c>
      <c r="C79">
        <v>950327</v>
      </c>
      <c r="D79">
        <v>18517</v>
      </c>
      <c r="E79">
        <v>379045</v>
      </c>
      <c r="F79">
        <v>0.079533</v>
      </c>
      <c r="G79">
        <v>110524</v>
      </c>
      <c r="H79">
        <v>1.16145</v>
      </c>
      <c r="I79">
        <v>110059</v>
      </c>
      <c r="J79">
        <v>0.225714</v>
      </c>
      <c r="K79">
        <v>206</v>
      </c>
      <c r="L79">
        <v>0</v>
      </c>
      <c r="M79">
        <v>-1</v>
      </c>
      <c r="N79">
        <v>13</v>
      </c>
      <c r="O79">
        <v>0.096964</v>
      </c>
      <c r="P79">
        <v>17</v>
      </c>
      <c r="Q79">
        <v>600</v>
      </c>
      <c r="S79">
        <f t="shared" si="4"/>
        <v>90.5809523325076</v>
      </c>
      <c r="T79">
        <f t="shared" si="5"/>
        <v>88.4188284664121</v>
      </c>
    </row>
    <row r="80" spans="1:20">
      <c r="A80" s="1" t="s">
        <v>129</v>
      </c>
      <c r="B80">
        <v>34</v>
      </c>
      <c r="C80">
        <v>78</v>
      </c>
      <c r="D80">
        <v>13</v>
      </c>
      <c r="E80">
        <v>33</v>
      </c>
      <c r="F80" s="4" t="s">
        <v>82</v>
      </c>
      <c r="G80">
        <v>14</v>
      </c>
      <c r="H80" s="4" t="s">
        <v>130</v>
      </c>
      <c r="I80">
        <v>14</v>
      </c>
      <c r="J80">
        <v>0.005273</v>
      </c>
      <c r="K80">
        <v>7</v>
      </c>
      <c r="L80">
        <v>0</v>
      </c>
      <c r="M80">
        <v>0.003575</v>
      </c>
      <c r="N80">
        <v>4</v>
      </c>
      <c r="O80" s="4" t="s">
        <v>66</v>
      </c>
      <c r="P80">
        <v>4</v>
      </c>
      <c r="Q80">
        <v>0.018636</v>
      </c>
      <c r="S80">
        <f t="shared" si="4"/>
        <v>61.7647058823529</v>
      </c>
      <c r="T80">
        <f t="shared" si="5"/>
        <v>82.051282051282</v>
      </c>
    </row>
    <row r="81" spans="1:20">
      <c r="A81" s="1" t="s">
        <v>131</v>
      </c>
      <c r="B81">
        <v>70068</v>
      </c>
      <c r="C81">
        <v>358647</v>
      </c>
      <c r="D81">
        <v>14033</v>
      </c>
      <c r="E81">
        <v>238865</v>
      </c>
      <c r="F81" s="2">
        <v>0.04422</v>
      </c>
      <c r="G81">
        <v>29679</v>
      </c>
      <c r="H81" s="2">
        <v>0.516579</v>
      </c>
      <c r="I81">
        <v>29403</v>
      </c>
      <c r="J81">
        <v>0.29438</v>
      </c>
      <c r="K81">
        <v>1774</v>
      </c>
      <c r="L81">
        <v>0</v>
      </c>
      <c r="M81">
        <v>-1</v>
      </c>
      <c r="N81">
        <v>8</v>
      </c>
      <c r="O81" s="2">
        <v>0.040292</v>
      </c>
      <c r="P81">
        <v>18</v>
      </c>
      <c r="Q81">
        <v>600</v>
      </c>
      <c r="S81">
        <f t="shared" si="4"/>
        <v>79.9723126106068</v>
      </c>
      <c r="T81">
        <f t="shared" si="5"/>
        <v>91.8016880107738</v>
      </c>
    </row>
    <row r="82" spans="1:20">
      <c r="A82" s="3" t="s">
        <v>132</v>
      </c>
      <c r="B82">
        <v>404719</v>
      </c>
      <c r="C82">
        <v>713319</v>
      </c>
      <c r="D82">
        <v>46489</v>
      </c>
      <c r="E82">
        <v>304864</v>
      </c>
      <c r="F82">
        <v>0.077577</v>
      </c>
      <c r="G82">
        <v>8866</v>
      </c>
      <c r="H82">
        <v>0.407435</v>
      </c>
      <c r="I82">
        <v>8519</v>
      </c>
      <c r="J82">
        <v>0.069463</v>
      </c>
      <c r="K82">
        <v>316</v>
      </c>
      <c r="L82">
        <v>44</v>
      </c>
      <c r="M82">
        <v>3.90802</v>
      </c>
      <c r="N82">
        <v>3</v>
      </c>
      <c r="O82">
        <v>0.069171</v>
      </c>
      <c r="P82">
        <v>4</v>
      </c>
      <c r="Q82">
        <v>4.82055</v>
      </c>
      <c r="S82">
        <f t="shared" si="4"/>
        <v>88.5132647590056</v>
      </c>
      <c r="T82">
        <f t="shared" si="5"/>
        <v>98.8057236664101</v>
      </c>
    </row>
    <row r="83" spans="1:20">
      <c r="A83" s="1" t="s">
        <v>133</v>
      </c>
      <c r="B83">
        <v>889</v>
      </c>
      <c r="C83">
        <v>2914</v>
      </c>
      <c r="D83">
        <v>235</v>
      </c>
      <c r="E83">
        <v>1369</v>
      </c>
      <c r="F83" s="2">
        <v>0.000219</v>
      </c>
      <c r="G83">
        <v>147</v>
      </c>
      <c r="H83" s="2">
        <v>0.000925</v>
      </c>
      <c r="I83">
        <v>21</v>
      </c>
      <c r="J83">
        <v>0.012033</v>
      </c>
      <c r="K83">
        <v>22</v>
      </c>
      <c r="L83">
        <v>0</v>
      </c>
      <c r="M83">
        <v>0.002801</v>
      </c>
      <c r="N83">
        <v>6</v>
      </c>
      <c r="O83" s="2">
        <v>0.000187</v>
      </c>
      <c r="P83">
        <v>6</v>
      </c>
      <c r="Q83">
        <v>0.017727</v>
      </c>
      <c r="S83">
        <f t="shared" si="4"/>
        <v>73.5658042744657</v>
      </c>
      <c r="T83">
        <f t="shared" si="5"/>
        <v>99.2793411118737</v>
      </c>
    </row>
    <row r="84" spans="1:20">
      <c r="A84" s="1" t="s">
        <v>134</v>
      </c>
      <c r="B84">
        <v>26475</v>
      </c>
      <c r="C84">
        <v>53381</v>
      </c>
      <c r="D84">
        <v>270</v>
      </c>
      <c r="E84">
        <v>3715</v>
      </c>
      <c r="F84">
        <v>0.001298</v>
      </c>
      <c r="G84">
        <v>1433</v>
      </c>
      <c r="H84">
        <v>0.007065</v>
      </c>
      <c r="I84">
        <v>1090</v>
      </c>
      <c r="J84">
        <v>0.153198</v>
      </c>
      <c r="K84">
        <v>807</v>
      </c>
      <c r="L84">
        <v>187</v>
      </c>
      <c r="M84">
        <v>0.20954</v>
      </c>
      <c r="N84">
        <v>10</v>
      </c>
      <c r="O84">
        <v>0.002641</v>
      </c>
      <c r="P84">
        <v>10</v>
      </c>
      <c r="Q84">
        <v>0.394483</v>
      </c>
      <c r="S84">
        <f t="shared" si="4"/>
        <v>98.9801699716714</v>
      </c>
      <c r="T84">
        <f t="shared" si="5"/>
        <v>97.9580749704951</v>
      </c>
    </row>
    <row r="85" spans="1:20">
      <c r="A85" s="1" t="s">
        <v>135</v>
      </c>
      <c r="B85">
        <v>40164</v>
      </c>
      <c r="C85">
        <v>85123</v>
      </c>
      <c r="D85">
        <v>951</v>
      </c>
      <c r="E85">
        <v>10372</v>
      </c>
      <c r="F85" s="2">
        <v>0.002997</v>
      </c>
      <c r="G85">
        <v>4064</v>
      </c>
      <c r="H85" s="2">
        <v>0.022539</v>
      </c>
      <c r="I85">
        <v>3757</v>
      </c>
      <c r="J85" s="2">
        <v>0.155383</v>
      </c>
      <c r="K85">
        <v>623</v>
      </c>
      <c r="L85">
        <v>214</v>
      </c>
      <c r="M85">
        <v>0.642851</v>
      </c>
      <c r="N85">
        <v>8</v>
      </c>
      <c r="O85" s="2">
        <v>0.005308</v>
      </c>
      <c r="P85">
        <v>10</v>
      </c>
      <c r="Q85">
        <v>0.935904</v>
      </c>
      <c r="S85">
        <f t="shared" si="4"/>
        <v>97.6322079474156</v>
      </c>
      <c r="T85">
        <f t="shared" si="5"/>
        <v>95.5863867579855</v>
      </c>
    </row>
    <row r="86" spans="1:20">
      <c r="A86" s="1" t="s">
        <v>136</v>
      </c>
      <c r="B86">
        <v>62561</v>
      </c>
      <c r="C86">
        <v>147878</v>
      </c>
      <c r="D86">
        <v>24443</v>
      </c>
      <c r="E86">
        <v>100454</v>
      </c>
      <c r="F86">
        <v>0.019956</v>
      </c>
      <c r="G86">
        <v>379</v>
      </c>
      <c r="H86" s="2">
        <v>0.033963</v>
      </c>
      <c r="I86">
        <v>90</v>
      </c>
      <c r="J86">
        <v>0.024514</v>
      </c>
      <c r="K86">
        <v>95</v>
      </c>
      <c r="L86">
        <v>0</v>
      </c>
      <c r="M86">
        <v>0.002961</v>
      </c>
      <c r="N86">
        <v>3</v>
      </c>
      <c r="O86">
        <v>0.011909</v>
      </c>
      <c r="P86">
        <v>3</v>
      </c>
      <c r="Q86">
        <v>0.153693</v>
      </c>
      <c r="S86">
        <f t="shared" si="4"/>
        <v>60.9293329710203</v>
      </c>
      <c r="T86">
        <f t="shared" si="5"/>
        <v>99.939139020003</v>
      </c>
    </row>
    <row r="87" spans="1:20">
      <c r="A87" s="1" t="s">
        <v>137</v>
      </c>
      <c r="B87">
        <v>190914</v>
      </c>
      <c r="C87">
        <v>607610</v>
      </c>
      <c r="D87">
        <v>18240</v>
      </c>
      <c r="E87">
        <v>194600</v>
      </c>
      <c r="F87" s="2">
        <v>0.045563</v>
      </c>
      <c r="G87">
        <v>22122</v>
      </c>
      <c r="H87" s="2">
        <v>0.239261</v>
      </c>
      <c r="I87">
        <v>21793</v>
      </c>
      <c r="J87">
        <v>0.13274</v>
      </c>
      <c r="K87">
        <v>1770</v>
      </c>
      <c r="L87">
        <v>0</v>
      </c>
      <c r="M87">
        <v>-1</v>
      </c>
      <c r="N87">
        <v>8</v>
      </c>
      <c r="O87" s="2">
        <v>0.060294</v>
      </c>
      <c r="P87">
        <v>10</v>
      </c>
      <c r="Q87">
        <v>600</v>
      </c>
      <c r="S87">
        <f t="shared" si="4"/>
        <v>90.4459599610296</v>
      </c>
      <c r="T87">
        <f t="shared" si="5"/>
        <v>96.4133243363342</v>
      </c>
    </row>
    <row r="88" spans="1:20">
      <c r="A88" s="1" t="s">
        <v>138</v>
      </c>
      <c r="B88">
        <v>2113</v>
      </c>
      <c r="C88">
        <v>6632</v>
      </c>
      <c r="D88">
        <v>24</v>
      </c>
      <c r="E88">
        <v>238</v>
      </c>
      <c r="F88">
        <v>0.000127</v>
      </c>
      <c r="G88">
        <v>194</v>
      </c>
      <c r="H88">
        <v>0.000248</v>
      </c>
      <c r="I88">
        <v>194</v>
      </c>
      <c r="J88">
        <v>0.011572</v>
      </c>
      <c r="K88">
        <v>18</v>
      </c>
      <c r="L88">
        <v>0</v>
      </c>
      <c r="M88">
        <v>0.004633</v>
      </c>
      <c r="N88">
        <v>15</v>
      </c>
      <c r="O88">
        <v>0.000464</v>
      </c>
      <c r="P88">
        <v>15</v>
      </c>
      <c r="Q88">
        <v>0.019352</v>
      </c>
      <c r="S88">
        <f t="shared" si="4"/>
        <v>98.8641741599621</v>
      </c>
      <c r="T88">
        <f t="shared" si="5"/>
        <v>97.0747889022919</v>
      </c>
    </row>
    <row r="89" spans="1:20">
      <c r="A89" s="1" t="s">
        <v>139</v>
      </c>
      <c r="B89">
        <v>7476</v>
      </c>
      <c r="C89">
        <v>56943</v>
      </c>
      <c r="D89">
        <v>604</v>
      </c>
      <c r="E89">
        <v>28664</v>
      </c>
      <c r="F89">
        <v>0.004493</v>
      </c>
      <c r="G89">
        <v>21287</v>
      </c>
      <c r="H89">
        <v>0.24486</v>
      </c>
      <c r="I89">
        <v>21196</v>
      </c>
      <c r="J89">
        <v>3.42944</v>
      </c>
      <c r="K89">
        <v>2061</v>
      </c>
      <c r="L89">
        <v>595</v>
      </c>
      <c r="M89">
        <v>5.32438</v>
      </c>
      <c r="N89">
        <v>31</v>
      </c>
      <c r="O89">
        <v>0.005554</v>
      </c>
      <c r="P89">
        <v>52</v>
      </c>
      <c r="Q89">
        <v>9.1494</v>
      </c>
      <c r="S89">
        <f t="shared" si="4"/>
        <v>91.9208132691279</v>
      </c>
      <c r="T89">
        <f t="shared" si="5"/>
        <v>62.7768118996189</v>
      </c>
    </row>
    <row r="90" spans="1:20">
      <c r="A90" s="1" t="s">
        <v>140</v>
      </c>
      <c r="B90">
        <v>3031</v>
      </c>
      <c r="C90">
        <v>6474</v>
      </c>
      <c r="D90">
        <v>30</v>
      </c>
      <c r="E90">
        <v>435</v>
      </c>
      <c r="F90" s="2">
        <v>9.9e-5</v>
      </c>
      <c r="G90">
        <v>435</v>
      </c>
      <c r="H90" s="2">
        <v>0.00064</v>
      </c>
      <c r="I90">
        <v>435</v>
      </c>
      <c r="J90" s="4" t="s">
        <v>82</v>
      </c>
      <c r="K90">
        <v>30</v>
      </c>
      <c r="L90">
        <v>29</v>
      </c>
      <c r="M90">
        <v>0.054624</v>
      </c>
      <c r="N90">
        <v>28</v>
      </c>
      <c r="O90" s="2">
        <v>0.000241</v>
      </c>
      <c r="P90">
        <v>29</v>
      </c>
      <c r="Q90">
        <v>0.06098</v>
      </c>
      <c r="S90">
        <f t="shared" si="4"/>
        <v>99.010227647641</v>
      </c>
      <c r="T90">
        <f t="shared" si="5"/>
        <v>93.2808155699722</v>
      </c>
    </row>
    <row r="91" spans="1:20">
      <c r="A91" s="1" t="s">
        <v>141</v>
      </c>
      <c r="B91">
        <v>1299</v>
      </c>
      <c r="C91">
        <v>2773</v>
      </c>
      <c r="D91">
        <v>19</v>
      </c>
      <c r="E91">
        <v>170</v>
      </c>
      <c r="F91" s="2">
        <v>6.2e-5</v>
      </c>
      <c r="G91">
        <v>170</v>
      </c>
      <c r="H91" s="2">
        <v>0.000169</v>
      </c>
      <c r="I91">
        <v>170</v>
      </c>
      <c r="J91" s="4" t="s">
        <v>63</v>
      </c>
      <c r="K91">
        <v>1</v>
      </c>
      <c r="L91">
        <v>0</v>
      </c>
      <c r="M91">
        <v>0.006882</v>
      </c>
      <c r="N91">
        <v>17</v>
      </c>
      <c r="O91" s="2">
        <v>0.000176</v>
      </c>
      <c r="P91">
        <v>17</v>
      </c>
      <c r="Q91">
        <v>0.011991</v>
      </c>
      <c r="S91">
        <f t="shared" si="4"/>
        <v>98.5373364126251</v>
      </c>
      <c r="T91">
        <f t="shared" si="5"/>
        <v>93.869455463397</v>
      </c>
    </row>
    <row r="92" spans="1:20">
      <c r="A92" s="1" t="s">
        <v>142</v>
      </c>
      <c r="B92">
        <v>11358</v>
      </c>
      <c r="C92">
        <v>47606</v>
      </c>
      <c r="D92">
        <v>50</v>
      </c>
      <c r="E92">
        <v>1225</v>
      </c>
      <c r="F92">
        <v>0.000564</v>
      </c>
      <c r="G92">
        <v>1225</v>
      </c>
      <c r="H92">
        <v>0.003222</v>
      </c>
      <c r="I92">
        <v>1225</v>
      </c>
      <c r="J92" s="4" t="s">
        <v>71</v>
      </c>
      <c r="K92">
        <v>8</v>
      </c>
      <c r="L92">
        <v>3</v>
      </c>
      <c r="M92">
        <v>0.02704</v>
      </c>
      <c r="N92">
        <v>45</v>
      </c>
      <c r="O92">
        <v>0.001992</v>
      </c>
      <c r="P92">
        <v>45</v>
      </c>
      <c r="Q92">
        <v>0.071836</v>
      </c>
      <c r="S92">
        <f t="shared" si="4"/>
        <v>99.5597816516992</v>
      </c>
      <c r="T92">
        <f t="shared" si="5"/>
        <v>97.4267949418141</v>
      </c>
    </row>
    <row r="93" spans="1:20">
      <c r="A93" s="1" t="s">
        <v>143</v>
      </c>
      <c r="B93">
        <v>643</v>
      </c>
      <c r="C93">
        <v>2280</v>
      </c>
      <c r="D93">
        <v>115</v>
      </c>
      <c r="E93">
        <v>869</v>
      </c>
      <c r="F93" s="2">
        <v>0.000302</v>
      </c>
      <c r="G93">
        <v>223</v>
      </c>
      <c r="H93">
        <v>0.001507</v>
      </c>
      <c r="I93">
        <v>131</v>
      </c>
      <c r="J93">
        <v>0.043354</v>
      </c>
      <c r="K93">
        <v>118</v>
      </c>
      <c r="L93">
        <v>0</v>
      </c>
      <c r="M93">
        <v>0.004508</v>
      </c>
      <c r="N93">
        <v>8</v>
      </c>
      <c r="O93" s="2">
        <v>0.000295</v>
      </c>
      <c r="P93">
        <v>8</v>
      </c>
      <c r="Q93">
        <v>0.052342</v>
      </c>
      <c r="S93">
        <f t="shared" si="4"/>
        <v>82.1150855365474</v>
      </c>
      <c r="T93">
        <f t="shared" si="5"/>
        <v>94.2543859649123</v>
      </c>
    </row>
    <row r="94" spans="1:20">
      <c r="A94" s="1" t="s">
        <v>144</v>
      </c>
      <c r="B94">
        <v>121422</v>
      </c>
      <c r="C94">
        <v>334419</v>
      </c>
      <c r="D94">
        <v>324</v>
      </c>
      <c r="E94">
        <v>12980</v>
      </c>
      <c r="F94" s="2">
        <v>0.004456</v>
      </c>
      <c r="G94">
        <v>12980</v>
      </c>
      <c r="H94" s="2">
        <v>0.058551</v>
      </c>
      <c r="I94">
        <v>12980</v>
      </c>
      <c r="J94">
        <v>4.04364</v>
      </c>
      <c r="K94">
        <v>2585</v>
      </c>
      <c r="L94">
        <v>781</v>
      </c>
      <c r="M94">
        <v>59.9905</v>
      </c>
      <c r="N94">
        <v>71</v>
      </c>
      <c r="O94" s="2">
        <v>0.019056</v>
      </c>
      <c r="P94">
        <v>72</v>
      </c>
      <c r="Q94">
        <v>64.5745</v>
      </c>
      <c r="S94">
        <f t="shared" si="4"/>
        <v>99.7331620299451</v>
      </c>
      <c r="T94">
        <f t="shared" si="5"/>
        <v>96.1186415843598</v>
      </c>
    </row>
    <row r="95" spans="1:20">
      <c r="A95" s="1" t="s">
        <v>145</v>
      </c>
      <c r="B95">
        <v>4767</v>
      </c>
      <c r="C95">
        <v>37375</v>
      </c>
      <c r="D95">
        <v>1249</v>
      </c>
      <c r="E95">
        <v>23323</v>
      </c>
      <c r="F95">
        <v>0.003619</v>
      </c>
      <c r="G95">
        <v>6347</v>
      </c>
      <c r="H95">
        <v>0.060589</v>
      </c>
      <c r="I95">
        <v>5933</v>
      </c>
      <c r="J95">
        <v>0.211282</v>
      </c>
      <c r="K95">
        <v>190</v>
      </c>
      <c r="L95">
        <v>0</v>
      </c>
      <c r="M95">
        <v>0.008168</v>
      </c>
      <c r="N95">
        <v>13</v>
      </c>
      <c r="O95">
        <v>0.003</v>
      </c>
      <c r="P95">
        <v>17</v>
      </c>
      <c r="Q95">
        <v>0.310907</v>
      </c>
      <c r="S95">
        <f t="shared" si="4"/>
        <v>73.7990350325152</v>
      </c>
      <c r="T95">
        <f t="shared" si="5"/>
        <v>84.1257525083612</v>
      </c>
    </row>
    <row r="96" spans="1:20">
      <c r="A96" s="1" t="s">
        <v>146</v>
      </c>
      <c r="B96">
        <v>16062</v>
      </c>
      <c r="C96">
        <v>25593</v>
      </c>
      <c r="D96">
        <v>33</v>
      </c>
      <c r="E96">
        <v>528</v>
      </c>
      <c r="F96" s="2">
        <v>0.000356</v>
      </c>
      <c r="G96">
        <v>528</v>
      </c>
      <c r="H96" s="2">
        <v>0.000857</v>
      </c>
      <c r="I96">
        <v>528</v>
      </c>
      <c r="J96" s="4" t="s">
        <v>106</v>
      </c>
      <c r="K96">
        <v>4</v>
      </c>
      <c r="L96">
        <v>1</v>
      </c>
      <c r="M96">
        <v>0.006814</v>
      </c>
      <c r="N96">
        <v>30</v>
      </c>
      <c r="O96">
        <v>0.0012</v>
      </c>
      <c r="P96">
        <v>30</v>
      </c>
      <c r="Q96">
        <v>0.021782</v>
      </c>
      <c r="S96">
        <f t="shared" si="4"/>
        <v>99.7945461337318</v>
      </c>
      <c r="T96">
        <f t="shared" si="5"/>
        <v>97.9369358809049</v>
      </c>
    </row>
    <row r="97" spans="17:17">
      <c r="Q97">
        <f>COUNT(Q2:Q96)-COUNTIF(Q2:Q96,"=600")</f>
        <v>77</v>
      </c>
    </row>
  </sheetData>
  <sortState ref="A2:Q96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7"/>
  <sheetViews>
    <sheetView topLeftCell="J1" workbookViewId="0">
      <selection activeCell="S1" sqref="S$1:T$1048576"/>
    </sheetView>
  </sheetViews>
  <sheetFormatPr defaultColWidth="9" defaultRowHeight="14"/>
  <cols>
    <col min="1" max="1" width="25.4545454545455" style="1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54545454545454" customWidth="1"/>
    <col min="19" max="20" width="12.8181818181818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17</v>
      </c>
      <c r="T1" t="s">
        <v>18</v>
      </c>
    </row>
    <row r="2" spans="1:20">
      <c r="A2" s="1" t="s">
        <v>19</v>
      </c>
      <c r="B2">
        <v>453</v>
      </c>
      <c r="C2">
        <v>2025</v>
      </c>
      <c r="D2">
        <v>111</v>
      </c>
      <c r="E2">
        <v>759</v>
      </c>
      <c r="F2" s="2">
        <v>0.00013</v>
      </c>
      <c r="G2">
        <v>254</v>
      </c>
      <c r="H2" s="2">
        <v>0.000715</v>
      </c>
      <c r="I2">
        <v>217</v>
      </c>
      <c r="J2">
        <v>0.044474</v>
      </c>
      <c r="K2">
        <v>291</v>
      </c>
      <c r="L2">
        <v>22</v>
      </c>
      <c r="M2">
        <v>0.00387</v>
      </c>
      <c r="N2">
        <v>7</v>
      </c>
      <c r="O2" s="2">
        <v>0.000119</v>
      </c>
      <c r="P2">
        <v>8</v>
      </c>
      <c r="Q2">
        <v>0.074479</v>
      </c>
      <c r="S2">
        <f t="shared" ref="S2:S65" si="0">(1-D2/B2)*100</f>
        <v>75.4966887417219</v>
      </c>
      <c r="T2">
        <f t="shared" ref="T2:T65" si="1">(1-I2/C2)*100</f>
        <v>89.2839506172839</v>
      </c>
    </row>
    <row r="3" spans="1:20">
      <c r="A3" s="1" t="s">
        <v>20</v>
      </c>
      <c r="B3">
        <v>516</v>
      </c>
      <c r="C3">
        <v>1188</v>
      </c>
      <c r="D3">
        <v>11</v>
      </c>
      <c r="E3">
        <v>55</v>
      </c>
      <c r="F3" s="2">
        <v>2.8e-5</v>
      </c>
      <c r="G3">
        <v>55</v>
      </c>
      <c r="H3" s="4" t="s">
        <v>86</v>
      </c>
      <c r="I3">
        <v>55</v>
      </c>
      <c r="J3" s="4" t="s">
        <v>25</v>
      </c>
      <c r="K3">
        <v>1</v>
      </c>
      <c r="L3">
        <v>0</v>
      </c>
      <c r="M3">
        <v>0.004414</v>
      </c>
      <c r="N3">
        <v>10</v>
      </c>
      <c r="O3" s="2">
        <v>8.3e-5</v>
      </c>
      <c r="P3">
        <v>10</v>
      </c>
      <c r="Q3">
        <v>0.007653</v>
      </c>
      <c r="S3">
        <f t="shared" si="0"/>
        <v>97.8682170542636</v>
      </c>
      <c r="T3">
        <f t="shared" si="1"/>
        <v>95.3703703703704</v>
      </c>
    </row>
    <row r="4" spans="1:20">
      <c r="A4" s="1" t="s">
        <v>22</v>
      </c>
      <c r="B4">
        <v>7393</v>
      </c>
      <c r="C4">
        <v>25569</v>
      </c>
      <c r="D4">
        <v>3073</v>
      </c>
      <c r="E4">
        <v>18419</v>
      </c>
      <c r="F4" s="2">
        <v>0.002937</v>
      </c>
      <c r="G4">
        <v>543</v>
      </c>
      <c r="H4" s="2">
        <v>0.009644</v>
      </c>
      <c r="I4">
        <v>175</v>
      </c>
      <c r="J4">
        <v>0.053245</v>
      </c>
      <c r="K4">
        <v>183</v>
      </c>
      <c r="L4">
        <v>1</v>
      </c>
      <c r="M4">
        <v>0.009692</v>
      </c>
      <c r="N4">
        <v>4</v>
      </c>
      <c r="O4" s="2">
        <v>0.001787</v>
      </c>
      <c r="P4">
        <v>4</v>
      </c>
      <c r="Q4">
        <v>0.087399</v>
      </c>
      <c r="S4">
        <f t="shared" si="0"/>
        <v>58.4336534559719</v>
      </c>
      <c r="T4">
        <f t="shared" si="1"/>
        <v>99.3155774570769</v>
      </c>
    </row>
    <row r="5" spans="1:20">
      <c r="A5" s="1" t="s">
        <v>23</v>
      </c>
      <c r="B5">
        <v>1458</v>
      </c>
      <c r="C5">
        <v>1948</v>
      </c>
      <c r="D5">
        <v>6</v>
      </c>
      <c r="E5">
        <v>15</v>
      </c>
      <c r="F5">
        <v>0.000147</v>
      </c>
      <c r="G5">
        <v>15</v>
      </c>
      <c r="H5" s="4" t="s">
        <v>147</v>
      </c>
      <c r="I5">
        <v>15</v>
      </c>
      <c r="J5" s="4" t="s">
        <v>80</v>
      </c>
      <c r="K5">
        <v>1</v>
      </c>
      <c r="L5">
        <v>0</v>
      </c>
      <c r="M5">
        <v>0.004564</v>
      </c>
      <c r="N5">
        <v>5</v>
      </c>
      <c r="O5">
        <v>0.000476</v>
      </c>
      <c r="P5">
        <v>5</v>
      </c>
      <c r="Q5">
        <v>0.014516</v>
      </c>
      <c r="S5">
        <f t="shared" si="0"/>
        <v>99.5884773662551</v>
      </c>
      <c r="T5">
        <f t="shared" si="1"/>
        <v>99.2299794661191</v>
      </c>
    </row>
    <row r="6" spans="1:20">
      <c r="A6" s="1" t="s">
        <v>26</v>
      </c>
      <c r="B6">
        <v>17903</v>
      </c>
      <c r="C6">
        <v>196972</v>
      </c>
      <c r="D6">
        <v>1324</v>
      </c>
      <c r="E6">
        <v>38659</v>
      </c>
      <c r="F6">
        <v>0.008429</v>
      </c>
      <c r="G6">
        <v>28263</v>
      </c>
      <c r="H6">
        <v>0.152647</v>
      </c>
      <c r="I6">
        <v>28258</v>
      </c>
      <c r="J6">
        <v>1.13942</v>
      </c>
      <c r="K6">
        <v>3051</v>
      </c>
      <c r="L6">
        <v>0</v>
      </c>
      <c r="M6">
        <v>-1</v>
      </c>
      <c r="N6">
        <v>38</v>
      </c>
      <c r="O6">
        <v>0.020504</v>
      </c>
      <c r="P6">
        <v>42</v>
      </c>
      <c r="Q6">
        <v>600</v>
      </c>
      <c r="S6">
        <f t="shared" si="0"/>
        <v>92.604591409261</v>
      </c>
      <c r="T6">
        <f t="shared" si="1"/>
        <v>85.6537985094328</v>
      </c>
    </row>
    <row r="7" spans="1:20">
      <c r="A7" s="1" t="s">
        <v>27</v>
      </c>
      <c r="B7">
        <v>227320</v>
      </c>
      <c r="C7">
        <v>814134</v>
      </c>
      <c r="D7">
        <v>1829</v>
      </c>
      <c r="E7">
        <v>49560</v>
      </c>
      <c r="F7">
        <v>0.018946</v>
      </c>
      <c r="G7">
        <v>49298</v>
      </c>
      <c r="H7">
        <v>0.183713</v>
      </c>
      <c r="I7">
        <v>49298</v>
      </c>
      <c r="J7">
        <v>1.76727</v>
      </c>
      <c r="K7">
        <v>932</v>
      </c>
      <c r="L7">
        <v>0</v>
      </c>
      <c r="M7">
        <v>-1</v>
      </c>
      <c r="N7">
        <v>37</v>
      </c>
      <c r="O7">
        <v>0.083135</v>
      </c>
      <c r="P7">
        <v>45</v>
      </c>
      <c r="Q7">
        <v>600</v>
      </c>
      <c r="S7">
        <f t="shared" si="0"/>
        <v>99.1954073552701</v>
      </c>
      <c r="T7">
        <f t="shared" si="1"/>
        <v>93.9447314569837</v>
      </c>
    </row>
    <row r="8" spans="1:20">
      <c r="A8" s="1" t="s">
        <v>28</v>
      </c>
      <c r="B8">
        <v>21363</v>
      </c>
      <c r="C8">
        <v>91286</v>
      </c>
      <c r="D8">
        <v>609</v>
      </c>
      <c r="E8">
        <v>6577</v>
      </c>
      <c r="F8">
        <v>0.002559</v>
      </c>
      <c r="G8">
        <v>3508</v>
      </c>
      <c r="H8">
        <v>0.01025</v>
      </c>
      <c r="I8">
        <v>3506</v>
      </c>
      <c r="J8">
        <v>0.211923</v>
      </c>
      <c r="K8">
        <v>2284</v>
      </c>
      <c r="L8">
        <v>538</v>
      </c>
      <c r="M8">
        <v>6.28272</v>
      </c>
      <c r="N8">
        <v>14</v>
      </c>
      <c r="O8">
        <v>0.008368</v>
      </c>
      <c r="P8">
        <v>15</v>
      </c>
      <c r="Q8">
        <v>6.72469</v>
      </c>
      <c r="S8">
        <f t="shared" si="0"/>
        <v>97.1492767869681</v>
      </c>
      <c r="T8">
        <f t="shared" si="1"/>
        <v>96.159323444997</v>
      </c>
    </row>
    <row r="9" spans="1:20">
      <c r="A9" s="1" t="s">
        <v>29</v>
      </c>
      <c r="B9">
        <v>1882</v>
      </c>
      <c r="C9">
        <v>1740</v>
      </c>
      <c r="D9">
        <v>23</v>
      </c>
      <c r="E9">
        <v>14</v>
      </c>
      <c r="F9" s="2">
        <v>5.1e-5</v>
      </c>
      <c r="G9">
        <v>0</v>
      </c>
      <c r="H9" s="4" t="s">
        <v>73</v>
      </c>
      <c r="I9">
        <v>0</v>
      </c>
      <c r="J9" s="2">
        <v>0</v>
      </c>
      <c r="K9">
        <v>0</v>
      </c>
      <c r="L9">
        <v>0</v>
      </c>
      <c r="M9">
        <v>0.002396</v>
      </c>
      <c r="N9">
        <v>3</v>
      </c>
      <c r="O9" s="2">
        <v>0.000134</v>
      </c>
      <c r="P9">
        <v>3</v>
      </c>
      <c r="Q9">
        <v>0.004031</v>
      </c>
      <c r="S9">
        <f t="shared" si="0"/>
        <v>98.7778958554729</v>
      </c>
      <c r="T9">
        <f t="shared" si="1"/>
        <v>100</v>
      </c>
    </row>
    <row r="10" spans="1:20">
      <c r="A10" s="1" t="s">
        <v>32</v>
      </c>
      <c r="B10">
        <v>226413</v>
      </c>
      <c r="C10">
        <v>716460</v>
      </c>
      <c r="D10">
        <v>1424</v>
      </c>
      <c r="E10">
        <v>32461</v>
      </c>
      <c r="F10">
        <v>0.014462</v>
      </c>
      <c r="G10">
        <v>32011</v>
      </c>
      <c r="H10">
        <v>0.087912</v>
      </c>
      <c r="I10">
        <v>32011</v>
      </c>
      <c r="J10">
        <v>1.25237</v>
      </c>
      <c r="K10">
        <v>1259</v>
      </c>
      <c r="L10">
        <v>0</v>
      </c>
      <c r="M10">
        <v>-1</v>
      </c>
      <c r="N10">
        <v>30</v>
      </c>
      <c r="O10">
        <v>0.069105</v>
      </c>
      <c r="P10">
        <v>38</v>
      </c>
      <c r="Q10">
        <v>600</v>
      </c>
      <c r="S10">
        <f t="shared" si="0"/>
        <v>99.3710608489795</v>
      </c>
      <c r="T10">
        <f t="shared" si="1"/>
        <v>95.5320604081177</v>
      </c>
    </row>
    <row r="11" spans="1:20">
      <c r="A11" s="1" t="s">
        <v>33</v>
      </c>
      <c r="B11">
        <v>5094</v>
      </c>
      <c r="C11">
        <v>7515</v>
      </c>
      <c r="D11">
        <v>252</v>
      </c>
      <c r="E11">
        <v>1006</v>
      </c>
      <c r="F11">
        <v>0.000252</v>
      </c>
      <c r="G11">
        <v>131</v>
      </c>
      <c r="H11" s="2">
        <v>0.000531</v>
      </c>
      <c r="I11">
        <v>97</v>
      </c>
      <c r="J11">
        <v>0.028107</v>
      </c>
      <c r="K11">
        <v>198</v>
      </c>
      <c r="L11">
        <v>14</v>
      </c>
      <c r="M11">
        <v>0.016535</v>
      </c>
      <c r="N11">
        <v>5</v>
      </c>
      <c r="O11">
        <v>0.000371</v>
      </c>
      <c r="P11">
        <v>5</v>
      </c>
      <c r="Q11">
        <v>0.048373</v>
      </c>
      <c r="S11">
        <f t="shared" si="0"/>
        <v>95.0530035335689</v>
      </c>
      <c r="T11">
        <f t="shared" si="1"/>
        <v>98.709248170326</v>
      </c>
    </row>
    <row r="12" spans="1:20">
      <c r="A12" s="1" t="s">
        <v>34</v>
      </c>
      <c r="B12">
        <v>4158</v>
      </c>
      <c r="C12">
        <v>13422</v>
      </c>
      <c r="D12">
        <v>46</v>
      </c>
      <c r="E12">
        <v>1030</v>
      </c>
      <c r="F12" s="2">
        <v>0.000255</v>
      </c>
      <c r="G12">
        <v>1030</v>
      </c>
      <c r="H12" s="2">
        <v>0.002464</v>
      </c>
      <c r="I12">
        <v>1030</v>
      </c>
      <c r="J12">
        <v>0.004098</v>
      </c>
      <c r="K12">
        <v>62</v>
      </c>
      <c r="L12">
        <v>9</v>
      </c>
      <c r="M12">
        <v>0.084549</v>
      </c>
      <c r="N12">
        <v>37</v>
      </c>
      <c r="O12" s="2">
        <v>0.001036</v>
      </c>
      <c r="P12">
        <v>37</v>
      </c>
      <c r="Q12">
        <v>0.107403</v>
      </c>
      <c r="S12">
        <f t="shared" si="0"/>
        <v>98.8936988936989</v>
      </c>
      <c r="T12">
        <f t="shared" si="1"/>
        <v>92.3260318879452</v>
      </c>
    </row>
    <row r="13" spans="1:20">
      <c r="A13" s="1" t="s">
        <v>35</v>
      </c>
      <c r="B13">
        <v>11204</v>
      </c>
      <c r="C13">
        <v>117619</v>
      </c>
      <c r="D13">
        <v>239</v>
      </c>
      <c r="E13">
        <v>28441</v>
      </c>
      <c r="F13" s="2">
        <v>0.004438</v>
      </c>
      <c r="G13">
        <v>28441</v>
      </c>
      <c r="H13" s="2">
        <v>0.425333</v>
      </c>
      <c r="I13">
        <v>28441</v>
      </c>
      <c r="J13">
        <v>0.00051</v>
      </c>
      <c r="K13">
        <v>876</v>
      </c>
      <c r="L13">
        <v>0</v>
      </c>
      <c r="M13">
        <v>-1</v>
      </c>
      <c r="N13">
        <v>180</v>
      </c>
      <c r="O13" s="2">
        <v>0.02179</v>
      </c>
      <c r="P13">
        <v>193</v>
      </c>
      <c r="Q13">
        <v>600</v>
      </c>
      <c r="S13">
        <f t="shared" si="0"/>
        <v>97.8668332738308</v>
      </c>
      <c r="T13">
        <f t="shared" si="1"/>
        <v>75.8193829228271</v>
      </c>
    </row>
    <row r="14" spans="1:20">
      <c r="A14" s="1" t="s">
        <v>36</v>
      </c>
      <c r="B14">
        <v>332689</v>
      </c>
      <c r="C14">
        <v>820644</v>
      </c>
      <c r="D14">
        <v>3825</v>
      </c>
      <c r="E14">
        <v>32392</v>
      </c>
      <c r="F14">
        <v>0.028154</v>
      </c>
      <c r="G14">
        <v>11461</v>
      </c>
      <c r="H14">
        <v>0.032037</v>
      </c>
      <c r="I14">
        <v>11431</v>
      </c>
      <c r="J14">
        <v>0.173211</v>
      </c>
      <c r="K14">
        <v>6385</v>
      </c>
      <c r="L14">
        <v>0</v>
      </c>
      <c r="M14">
        <v>-1</v>
      </c>
      <c r="N14">
        <v>10</v>
      </c>
      <c r="O14">
        <v>0.105557</v>
      </c>
      <c r="P14">
        <v>11</v>
      </c>
      <c r="Q14">
        <v>600</v>
      </c>
      <c r="S14">
        <f t="shared" si="0"/>
        <v>98.8502775865748</v>
      </c>
      <c r="T14">
        <f t="shared" si="1"/>
        <v>98.6070695697525</v>
      </c>
    </row>
    <row r="15" spans="1:20">
      <c r="A15" s="1" t="s">
        <v>37</v>
      </c>
      <c r="B15">
        <v>379</v>
      </c>
      <c r="C15">
        <v>914</v>
      </c>
      <c r="D15">
        <v>9</v>
      </c>
      <c r="E15">
        <v>36</v>
      </c>
      <c r="F15" s="2">
        <v>2.1e-5</v>
      </c>
      <c r="G15">
        <v>36</v>
      </c>
      <c r="H15" s="2">
        <v>2.1e-5</v>
      </c>
      <c r="I15">
        <v>36</v>
      </c>
      <c r="J15" s="4" t="s">
        <v>25</v>
      </c>
      <c r="K15">
        <v>1</v>
      </c>
      <c r="L15">
        <v>0</v>
      </c>
      <c r="M15">
        <v>0.002362</v>
      </c>
      <c r="N15">
        <v>8</v>
      </c>
      <c r="O15" s="2">
        <v>6.2e-5</v>
      </c>
      <c r="P15">
        <v>8</v>
      </c>
      <c r="Q15">
        <v>0.013561</v>
      </c>
      <c r="S15">
        <f t="shared" si="0"/>
        <v>97.6253298153034</v>
      </c>
      <c r="T15">
        <f t="shared" si="1"/>
        <v>96.0612691466083</v>
      </c>
    </row>
    <row r="16" spans="1:20">
      <c r="A16" s="1" t="s">
        <v>38</v>
      </c>
      <c r="B16">
        <v>32430</v>
      </c>
      <c r="C16">
        <v>54397</v>
      </c>
      <c r="D16">
        <v>1245</v>
      </c>
      <c r="E16">
        <v>14464</v>
      </c>
      <c r="F16">
        <v>0.002834</v>
      </c>
      <c r="G16">
        <v>8128</v>
      </c>
      <c r="H16">
        <v>0.023846</v>
      </c>
      <c r="I16">
        <v>7861</v>
      </c>
      <c r="J16">
        <v>0.138475</v>
      </c>
      <c r="K16">
        <v>1414</v>
      </c>
      <c r="L16">
        <v>808</v>
      </c>
      <c r="M16">
        <v>16.4703</v>
      </c>
      <c r="N16">
        <v>6</v>
      </c>
      <c r="O16">
        <v>0.002778</v>
      </c>
      <c r="P16">
        <v>8</v>
      </c>
      <c r="Q16">
        <v>16.6853</v>
      </c>
      <c r="S16">
        <f t="shared" si="0"/>
        <v>96.1609620721554</v>
      </c>
      <c r="T16">
        <f t="shared" si="1"/>
        <v>85.5488354137177</v>
      </c>
    </row>
    <row r="17" spans="1:20">
      <c r="A17" s="1" t="s">
        <v>39</v>
      </c>
      <c r="B17">
        <v>1133</v>
      </c>
      <c r="C17">
        <v>5451</v>
      </c>
      <c r="D17">
        <v>468</v>
      </c>
      <c r="E17">
        <v>3420</v>
      </c>
      <c r="F17">
        <v>0.000493</v>
      </c>
      <c r="G17">
        <v>445</v>
      </c>
      <c r="H17">
        <v>0.002435</v>
      </c>
      <c r="I17">
        <v>166</v>
      </c>
      <c r="J17">
        <v>0.057779</v>
      </c>
      <c r="K17">
        <v>346</v>
      </c>
      <c r="L17">
        <v>13</v>
      </c>
      <c r="M17">
        <v>0.010225</v>
      </c>
      <c r="N17">
        <v>7</v>
      </c>
      <c r="O17">
        <v>0.000334</v>
      </c>
      <c r="P17">
        <v>9</v>
      </c>
      <c r="Q17">
        <v>0.073993</v>
      </c>
      <c r="S17">
        <f t="shared" si="0"/>
        <v>58.693733451015</v>
      </c>
      <c r="T17">
        <f t="shared" si="1"/>
        <v>96.9546872133554</v>
      </c>
    </row>
    <row r="18" spans="1:20">
      <c r="A18" s="1" t="s">
        <v>40</v>
      </c>
      <c r="B18">
        <v>33696</v>
      </c>
      <c r="C18">
        <v>180811</v>
      </c>
      <c r="D18">
        <v>5329</v>
      </c>
      <c r="E18">
        <v>104930</v>
      </c>
      <c r="F18">
        <v>0.017292</v>
      </c>
      <c r="G18">
        <v>70285</v>
      </c>
      <c r="H18">
        <v>0.341909</v>
      </c>
      <c r="I18">
        <v>70002</v>
      </c>
      <c r="J18">
        <v>0.215574</v>
      </c>
      <c r="K18">
        <v>848</v>
      </c>
      <c r="L18">
        <v>0</v>
      </c>
      <c r="M18">
        <v>-1</v>
      </c>
      <c r="N18">
        <v>9</v>
      </c>
      <c r="O18">
        <v>0.01409</v>
      </c>
      <c r="P18">
        <v>14</v>
      </c>
      <c r="Q18">
        <v>600</v>
      </c>
      <c r="S18">
        <f t="shared" si="0"/>
        <v>84.1850664767331</v>
      </c>
      <c r="T18">
        <f t="shared" si="1"/>
        <v>61.2844351283937</v>
      </c>
    </row>
    <row r="19" spans="1:20">
      <c r="A19" s="1" t="s">
        <v>41</v>
      </c>
      <c r="B19">
        <v>143</v>
      </c>
      <c r="C19">
        <v>623</v>
      </c>
      <c r="D19">
        <v>80</v>
      </c>
      <c r="E19">
        <v>442</v>
      </c>
      <c r="F19" s="2">
        <v>6e-5</v>
      </c>
      <c r="G19">
        <v>139</v>
      </c>
      <c r="H19" s="2">
        <v>0.000294</v>
      </c>
      <c r="I19">
        <v>105</v>
      </c>
      <c r="J19" s="2">
        <v>0.018995</v>
      </c>
      <c r="K19">
        <v>144</v>
      </c>
      <c r="L19">
        <v>1</v>
      </c>
      <c r="M19">
        <v>0.004315</v>
      </c>
      <c r="N19">
        <v>6</v>
      </c>
      <c r="O19" s="2">
        <v>4.1e-5</v>
      </c>
      <c r="P19">
        <v>7</v>
      </c>
      <c r="Q19">
        <v>0.02798</v>
      </c>
      <c r="S19">
        <f t="shared" si="0"/>
        <v>44.0559440559441</v>
      </c>
      <c r="T19">
        <f t="shared" si="1"/>
        <v>83.1460674157303</v>
      </c>
    </row>
    <row r="20" spans="1:20">
      <c r="A20" s="1" t="s">
        <v>42</v>
      </c>
      <c r="B20">
        <v>1266</v>
      </c>
      <c r="C20">
        <v>6451</v>
      </c>
      <c r="D20">
        <v>761</v>
      </c>
      <c r="E20">
        <v>5580</v>
      </c>
      <c r="F20" s="2">
        <v>0.000784</v>
      </c>
      <c r="G20">
        <v>689</v>
      </c>
      <c r="H20" s="2">
        <v>0.003712</v>
      </c>
      <c r="I20">
        <v>141</v>
      </c>
      <c r="J20">
        <v>0.025899</v>
      </c>
      <c r="K20">
        <v>55</v>
      </c>
      <c r="L20">
        <v>0</v>
      </c>
      <c r="M20">
        <v>0.002193</v>
      </c>
      <c r="N20">
        <v>4</v>
      </c>
      <c r="O20" s="2">
        <v>0.000411</v>
      </c>
      <c r="P20">
        <v>5</v>
      </c>
      <c r="Q20">
        <v>0.03735</v>
      </c>
      <c r="S20">
        <f t="shared" si="0"/>
        <v>39.8894154818325</v>
      </c>
      <c r="T20">
        <f t="shared" si="1"/>
        <v>97.814292357774</v>
      </c>
    </row>
    <row r="21" spans="1:20">
      <c r="A21" s="1" t="s">
        <v>43</v>
      </c>
      <c r="B21">
        <v>410</v>
      </c>
      <c r="C21">
        <v>2765</v>
      </c>
      <c r="D21">
        <v>50</v>
      </c>
      <c r="E21">
        <v>504</v>
      </c>
      <c r="F21" s="2">
        <v>9.5e-5</v>
      </c>
      <c r="G21">
        <v>165</v>
      </c>
      <c r="H21" s="2">
        <v>0.000676</v>
      </c>
      <c r="I21">
        <v>153</v>
      </c>
      <c r="J21">
        <v>0.02943</v>
      </c>
      <c r="K21">
        <v>100</v>
      </c>
      <c r="L21">
        <v>1</v>
      </c>
      <c r="M21">
        <v>0.005956</v>
      </c>
      <c r="N21">
        <v>14</v>
      </c>
      <c r="O21" s="2">
        <v>0.000198</v>
      </c>
      <c r="P21">
        <v>14</v>
      </c>
      <c r="Q21">
        <v>0.054568</v>
      </c>
      <c r="S21">
        <f t="shared" si="0"/>
        <v>87.8048780487805</v>
      </c>
      <c r="T21">
        <f t="shared" si="1"/>
        <v>94.4665461121157</v>
      </c>
    </row>
    <row r="22" spans="1:20">
      <c r="A22" s="1" t="s">
        <v>44</v>
      </c>
      <c r="B22">
        <v>113</v>
      </c>
      <c r="C22">
        <v>2196</v>
      </c>
      <c r="D22">
        <v>110</v>
      </c>
      <c r="E22">
        <v>2173</v>
      </c>
      <c r="F22" s="2">
        <v>0.000256</v>
      </c>
      <c r="G22">
        <v>1688</v>
      </c>
      <c r="H22" s="2">
        <v>0.005444</v>
      </c>
      <c r="I22">
        <v>1512</v>
      </c>
      <c r="J22">
        <v>0.155582</v>
      </c>
      <c r="K22">
        <v>649</v>
      </c>
      <c r="L22">
        <v>211</v>
      </c>
      <c r="M22">
        <v>0.038694</v>
      </c>
      <c r="N22">
        <v>12</v>
      </c>
      <c r="O22" s="2">
        <v>0.000172</v>
      </c>
      <c r="P22">
        <v>13</v>
      </c>
      <c r="Q22">
        <v>0.207207</v>
      </c>
      <c r="S22">
        <f t="shared" si="0"/>
        <v>2.65486725663717</v>
      </c>
      <c r="T22">
        <f t="shared" si="1"/>
        <v>31.1475409836066</v>
      </c>
    </row>
    <row r="23" spans="1:20">
      <c r="A23" s="1" t="s">
        <v>45</v>
      </c>
      <c r="B23">
        <v>6809</v>
      </c>
      <c r="C23">
        <v>7680</v>
      </c>
      <c r="D23">
        <v>139</v>
      </c>
      <c r="E23">
        <v>553</v>
      </c>
      <c r="F23" s="2">
        <v>0.000157</v>
      </c>
      <c r="G23">
        <v>71</v>
      </c>
      <c r="H23">
        <v>0.000213</v>
      </c>
      <c r="I23">
        <v>26</v>
      </c>
      <c r="J23">
        <v>0.011792</v>
      </c>
      <c r="K23">
        <v>29</v>
      </c>
      <c r="L23">
        <v>0</v>
      </c>
      <c r="M23">
        <v>0.002872</v>
      </c>
      <c r="N23">
        <v>4</v>
      </c>
      <c r="O23">
        <v>0.000285</v>
      </c>
      <c r="P23">
        <v>4</v>
      </c>
      <c r="Q23">
        <v>0.017662</v>
      </c>
      <c r="S23">
        <f t="shared" si="0"/>
        <v>97.9585842267587</v>
      </c>
      <c r="T23">
        <f t="shared" si="1"/>
        <v>99.6614583333333</v>
      </c>
    </row>
    <row r="24" spans="1:20">
      <c r="A24" s="1" t="s">
        <v>46</v>
      </c>
      <c r="B24">
        <v>92117</v>
      </c>
      <c r="C24">
        <v>360767</v>
      </c>
      <c r="D24">
        <v>16279</v>
      </c>
      <c r="E24">
        <v>251033</v>
      </c>
      <c r="F24">
        <v>0.045408</v>
      </c>
      <c r="G24">
        <v>119974</v>
      </c>
      <c r="H24">
        <v>0.830298</v>
      </c>
      <c r="I24">
        <v>119759</v>
      </c>
      <c r="J24">
        <v>0.184601</v>
      </c>
      <c r="K24">
        <v>444</v>
      </c>
      <c r="L24">
        <v>0</v>
      </c>
      <c r="M24">
        <v>-1</v>
      </c>
      <c r="N24">
        <v>5</v>
      </c>
      <c r="O24">
        <v>0.038411</v>
      </c>
      <c r="P24">
        <v>12</v>
      </c>
      <c r="Q24">
        <v>600</v>
      </c>
      <c r="S24">
        <f t="shared" si="0"/>
        <v>82.3279090721582</v>
      </c>
      <c r="T24">
        <f t="shared" si="1"/>
        <v>66.8043363167917</v>
      </c>
    </row>
    <row r="25" spans="1:20">
      <c r="A25" s="1" t="s">
        <v>47</v>
      </c>
      <c r="B25">
        <v>4941</v>
      </c>
      <c r="C25">
        <v>6594</v>
      </c>
      <c r="D25">
        <v>24</v>
      </c>
      <c r="E25">
        <v>72</v>
      </c>
      <c r="F25">
        <v>0.000165</v>
      </c>
      <c r="G25">
        <v>30</v>
      </c>
      <c r="H25" s="4" t="s">
        <v>69</v>
      </c>
      <c r="I25">
        <v>30</v>
      </c>
      <c r="J25">
        <v>0.008883</v>
      </c>
      <c r="K25">
        <v>19</v>
      </c>
      <c r="L25">
        <v>0</v>
      </c>
      <c r="M25">
        <v>0.020591</v>
      </c>
      <c r="N25">
        <v>5</v>
      </c>
      <c r="O25">
        <v>0.000463</v>
      </c>
      <c r="P25">
        <v>5</v>
      </c>
      <c r="Q25">
        <v>0.032454</v>
      </c>
      <c r="S25">
        <f t="shared" si="0"/>
        <v>99.5142683667274</v>
      </c>
      <c r="T25">
        <f t="shared" si="1"/>
        <v>99.5450409463148</v>
      </c>
    </row>
    <row r="26" spans="1:20">
      <c r="A26" s="1" t="s">
        <v>49</v>
      </c>
      <c r="B26">
        <v>91813</v>
      </c>
      <c r="C26">
        <v>125704</v>
      </c>
      <c r="D26">
        <v>114</v>
      </c>
      <c r="E26">
        <v>136</v>
      </c>
      <c r="F26">
        <v>0.003602</v>
      </c>
      <c r="G26">
        <v>0</v>
      </c>
      <c r="H26" s="4" t="s">
        <v>148</v>
      </c>
      <c r="I26">
        <v>0</v>
      </c>
      <c r="J26">
        <v>0</v>
      </c>
      <c r="K26">
        <v>0</v>
      </c>
      <c r="L26">
        <v>0</v>
      </c>
      <c r="M26">
        <v>0.001417</v>
      </c>
      <c r="N26">
        <v>5</v>
      </c>
      <c r="O26">
        <v>0.011955</v>
      </c>
      <c r="P26">
        <v>5</v>
      </c>
      <c r="Q26">
        <v>0.049504</v>
      </c>
      <c r="S26">
        <f t="shared" si="0"/>
        <v>99.8758345768028</v>
      </c>
      <c r="T26">
        <f t="shared" si="1"/>
        <v>100</v>
      </c>
    </row>
    <row r="27" spans="1:20">
      <c r="A27" s="1" t="s">
        <v>50</v>
      </c>
      <c r="B27">
        <v>96</v>
      </c>
      <c r="C27">
        <v>117</v>
      </c>
      <c r="D27">
        <v>16</v>
      </c>
      <c r="E27">
        <v>26</v>
      </c>
      <c r="F27" s="4" t="s">
        <v>107</v>
      </c>
      <c r="G27">
        <v>6</v>
      </c>
      <c r="H27" s="4" t="s">
        <v>149</v>
      </c>
      <c r="I27">
        <v>6</v>
      </c>
      <c r="J27">
        <v>0.004648</v>
      </c>
      <c r="K27">
        <v>7</v>
      </c>
      <c r="L27">
        <v>0</v>
      </c>
      <c r="M27">
        <v>0.002966</v>
      </c>
      <c r="N27">
        <v>3</v>
      </c>
      <c r="O27" s="4" t="s">
        <v>51</v>
      </c>
      <c r="P27">
        <v>3</v>
      </c>
      <c r="Q27">
        <v>0.023712</v>
      </c>
      <c r="S27">
        <f t="shared" si="0"/>
        <v>83.3333333333333</v>
      </c>
      <c r="T27">
        <f t="shared" si="1"/>
        <v>94.8717948717949</v>
      </c>
    </row>
    <row r="28" spans="1:20">
      <c r="A28" s="1" t="s">
        <v>52</v>
      </c>
      <c r="B28">
        <v>761</v>
      </c>
      <c r="C28">
        <v>1029</v>
      </c>
      <c r="D28">
        <v>51</v>
      </c>
      <c r="E28">
        <v>139</v>
      </c>
      <c r="F28" s="2">
        <v>0.000123</v>
      </c>
      <c r="G28">
        <v>13</v>
      </c>
      <c r="H28" s="2">
        <v>0.000148</v>
      </c>
      <c r="I28">
        <v>0</v>
      </c>
      <c r="J28" s="4" t="s">
        <v>51</v>
      </c>
      <c r="K28">
        <v>0</v>
      </c>
      <c r="L28">
        <v>0</v>
      </c>
      <c r="M28">
        <v>0.003905</v>
      </c>
      <c r="N28">
        <v>4</v>
      </c>
      <c r="O28" s="2">
        <v>0.000172</v>
      </c>
      <c r="P28">
        <v>4</v>
      </c>
      <c r="Q28">
        <v>0.005329</v>
      </c>
      <c r="S28">
        <f t="shared" si="0"/>
        <v>93.2982917214192</v>
      </c>
      <c r="T28">
        <f t="shared" si="1"/>
        <v>100</v>
      </c>
    </row>
    <row r="29" spans="1:20">
      <c r="A29" s="1" t="s">
        <v>54</v>
      </c>
      <c r="B29">
        <v>146</v>
      </c>
      <c r="C29">
        <v>9828</v>
      </c>
      <c r="D29">
        <v>131</v>
      </c>
      <c r="E29">
        <v>8435</v>
      </c>
      <c r="F29">
        <v>0.000887</v>
      </c>
      <c r="G29">
        <v>8435</v>
      </c>
      <c r="H29">
        <v>0.068014</v>
      </c>
      <c r="I29">
        <v>8435</v>
      </c>
      <c r="J29">
        <v>0.717089</v>
      </c>
      <c r="K29">
        <v>2353</v>
      </c>
      <c r="L29">
        <v>26</v>
      </c>
      <c r="M29">
        <v>0.524046</v>
      </c>
      <c r="N29">
        <v>115</v>
      </c>
      <c r="O29">
        <v>0.001941</v>
      </c>
      <c r="P29">
        <v>115</v>
      </c>
      <c r="Q29">
        <v>1.74365</v>
      </c>
      <c r="S29">
        <f t="shared" si="0"/>
        <v>10.2739726027397</v>
      </c>
      <c r="T29">
        <f t="shared" si="1"/>
        <v>14.1737891737892</v>
      </c>
    </row>
    <row r="30" spans="1:20">
      <c r="A30" s="1" t="s">
        <v>55</v>
      </c>
      <c r="B30">
        <v>488</v>
      </c>
      <c r="C30">
        <v>71011</v>
      </c>
      <c r="D30">
        <v>371</v>
      </c>
      <c r="E30">
        <v>62369</v>
      </c>
      <c r="F30" s="2">
        <v>0.007362</v>
      </c>
      <c r="G30">
        <v>-1</v>
      </c>
      <c r="H30" s="2">
        <v>1.8429</v>
      </c>
      <c r="I30">
        <v>-1</v>
      </c>
      <c r="J30">
        <v>-1</v>
      </c>
      <c r="K30">
        <v>0</v>
      </c>
      <c r="L30">
        <v>0</v>
      </c>
      <c r="M30">
        <v>-1</v>
      </c>
      <c r="N30">
        <v>229</v>
      </c>
      <c r="O30">
        <v>0.044701</v>
      </c>
      <c r="P30">
        <v>229</v>
      </c>
      <c r="Q30">
        <v>600</v>
      </c>
      <c r="S30">
        <f t="shared" si="0"/>
        <v>23.9754098360656</v>
      </c>
      <c r="T30">
        <f t="shared" si="1"/>
        <v>100.001408232527</v>
      </c>
    </row>
    <row r="31" spans="1:20">
      <c r="A31" s="1" t="s">
        <v>56</v>
      </c>
      <c r="B31">
        <v>1303</v>
      </c>
      <c r="C31">
        <v>531893</v>
      </c>
      <c r="D31">
        <v>1132</v>
      </c>
      <c r="E31">
        <v>498788</v>
      </c>
      <c r="F31">
        <v>0.066318</v>
      </c>
      <c r="G31">
        <v>498782</v>
      </c>
      <c r="H31">
        <v>57.1767</v>
      </c>
      <c r="I31">
        <v>498782</v>
      </c>
      <c r="J31">
        <v>185.929</v>
      </c>
      <c r="K31">
        <v>808</v>
      </c>
      <c r="L31">
        <v>0</v>
      </c>
      <c r="M31">
        <v>-1</v>
      </c>
      <c r="N31">
        <v>419</v>
      </c>
      <c r="O31">
        <v>0.950896</v>
      </c>
      <c r="P31">
        <v>419</v>
      </c>
      <c r="Q31">
        <v>600</v>
      </c>
      <c r="S31">
        <f t="shared" si="0"/>
        <v>13.1235610130468</v>
      </c>
      <c r="T31">
        <f t="shared" si="1"/>
        <v>6.22512422611314</v>
      </c>
    </row>
    <row r="32" spans="1:20">
      <c r="A32" s="1" t="s">
        <v>57</v>
      </c>
      <c r="B32">
        <v>10972</v>
      </c>
      <c r="C32">
        <v>175573</v>
      </c>
      <c r="D32">
        <v>950</v>
      </c>
      <c r="E32">
        <v>36624</v>
      </c>
      <c r="F32" s="2">
        <v>0.006087</v>
      </c>
      <c r="G32">
        <v>35668</v>
      </c>
      <c r="H32" s="2">
        <v>0.195774</v>
      </c>
      <c r="I32">
        <v>35667</v>
      </c>
      <c r="J32">
        <v>3.90733</v>
      </c>
      <c r="K32">
        <v>3693</v>
      </c>
      <c r="L32">
        <v>0</v>
      </c>
      <c r="M32">
        <v>-1</v>
      </c>
      <c r="N32">
        <v>51</v>
      </c>
      <c r="O32" s="2">
        <v>0.023459</v>
      </c>
      <c r="P32">
        <v>56</v>
      </c>
      <c r="Q32">
        <v>600</v>
      </c>
      <c r="S32">
        <f t="shared" si="0"/>
        <v>91.3415967918338</v>
      </c>
      <c r="T32">
        <f t="shared" si="1"/>
        <v>79.6853730357173</v>
      </c>
    </row>
    <row r="33" spans="1:20">
      <c r="A33" s="1" t="s">
        <v>58</v>
      </c>
      <c r="B33">
        <v>113</v>
      </c>
      <c r="C33">
        <v>6222</v>
      </c>
      <c r="D33">
        <v>107</v>
      </c>
      <c r="E33">
        <v>5669</v>
      </c>
      <c r="F33">
        <v>0.000564</v>
      </c>
      <c r="G33">
        <v>5669</v>
      </c>
      <c r="H33">
        <v>0.034593</v>
      </c>
      <c r="I33">
        <v>5669</v>
      </c>
      <c r="J33">
        <v>0.000102</v>
      </c>
      <c r="K33">
        <v>18</v>
      </c>
      <c r="L33">
        <v>14</v>
      </c>
      <c r="M33">
        <v>0.874403</v>
      </c>
      <c r="N33">
        <v>102</v>
      </c>
      <c r="O33">
        <v>0.000889</v>
      </c>
      <c r="P33">
        <v>102</v>
      </c>
      <c r="Q33">
        <v>1.01137</v>
      </c>
      <c r="S33">
        <f t="shared" si="0"/>
        <v>5.30973451327433</v>
      </c>
      <c r="T33">
        <f t="shared" si="1"/>
        <v>8.88781742205079</v>
      </c>
    </row>
    <row r="34" spans="1:20">
      <c r="A34" s="1" t="s">
        <v>59</v>
      </c>
      <c r="B34">
        <v>1206</v>
      </c>
      <c r="C34">
        <v>65990</v>
      </c>
      <c r="D34">
        <v>321</v>
      </c>
      <c r="E34">
        <v>38139</v>
      </c>
      <c r="F34" s="2">
        <v>0.005013</v>
      </c>
      <c r="G34">
        <v>36477</v>
      </c>
      <c r="H34" s="2">
        <v>0.849068</v>
      </c>
      <c r="I34">
        <v>36476</v>
      </c>
      <c r="J34">
        <v>224.393</v>
      </c>
      <c r="K34">
        <v>797</v>
      </c>
      <c r="L34">
        <v>0</v>
      </c>
      <c r="M34">
        <v>-1</v>
      </c>
      <c r="N34">
        <v>125</v>
      </c>
      <c r="O34" s="2">
        <v>0.021701</v>
      </c>
      <c r="P34">
        <v>139</v>
      </c>
      <c r="Q34">
        <v>600</v>
      </c>
      <c r="S34">
        <f t="shared" si="0"/>
        <v>73.3830845771144</v>
      </c>
      <c r="T34">
        <f t="shared" si="1"/>
        <v>44.7249583270193</v>
      </c>
    </row>
    <row r="35" spans="1:20">
      <c r="A35" s="1" t="s">
        <v>60</v>
      </c>
      <c r="B35">
        <v>17151</v>
      </c>
      <c r="C35">
        <v>24015</v>
      </c>
      <c r="D35">
        <v>96</v>
      </c>
      <c r="E35">
        <v>995</v>
      </c>
      <c r="F35" s="2">
        <v>0.000657</v>
      </c>
      <c r="G35">
        <v>894</v>
      </c>
      <c r="H35" s="2">
        <v>0.001423</v>
      </c>
      <c r="I35">
        <v>892</v>
      </c>
      <c r="J35" s="2">
        <v>0.074503</v>
      </c>
      <c r="K35">
        <v>487</v>
      </c>
      <c r="L35">
        <v>103</v>
      </c>
      <c r="M35">
        <v>0.127684</v>
      </c>
      <c r="N35">
        <v>13</v>
      </c>
      <c r="O35" s="2">
        <v>0.001947</v>
      </c>
      <c r="P35">
        <v>14</v>
      </c>
      <c r="Q35">
        <v>0.220655</v>
      </c>
      <c r="S35">
        <f t="shared" si="0"/>
        <v>99.44026587371</v>
      </c>
      <c r="T35">
        <f t="shared" si="1"/>
        <v>96.2856547990839</v>
      </c>
    </row>
    <row r="36" spans="1:20">
      <c r="A36" s="1" t="s">
        <v>61</v>
      </c>
      <c r="B36">
        <v>72</v>
      </c>
      <c r="C36">
        <v>355</v>
      </c>
      <c r="D36">
        <v>18</v>
      </c>
      <c r="E36">
        <v>150</v>
      </c>
      <c r="F36" s="4" t="s">
        <v>71</v>
      </c>
      <c r="G36">
        <v>150</v>
      </c>
      <c r="H36">
        <v>0.000137</v>
      </c>
      <c r="I36">
        <v>150</v>
      </c>
      <c r="J36" s="4" t="s">
        <v>63</v>
      </c>
      <c r="K36">
        <v>1</v>
      </c>
      <c r="L36">
        <v>0</v>
      </c>
      <c r="M36">
        <v>0.00456</v>
      </c>
      <c r="N36">
        <v>15</v>
      </c>
      <c r="O36" s="4" t="s">
        <v>148</v>
      </c>
      <c r="P36">
        <v>15</v>
      </c>
      <c r="Q36">
        <v>0.013558</v>
      </c>
      <c r="S36">
        <f t="shared" si="0"/>
        <v>75</v>
      </c>
      <c r="T36">
        <f t="shared" si="1"/>
        <v>57.7464788732394</v>
      </c>
    </row>
    <row r="37" spans="1:20">
      <c r="A37" s="1" t="s">
        <v>65</v>
      </c>
      <c r="B37">
        <v>34</v>
      </c>
      <c r="C37">
        <v>96</v>
      </c>
      <c r="D37">
        <v>12</v>
      </c>
      <c r="E37">
        <v>53</v>
      </c>
      <c r="F37" s="2">
        <v>9e-6</v>
      </c>
      <c r="G37">
        <v>53</v>
      </c>
      <c r="H37" s="2">
        <v>3.6e-5</v>
      </c>
      <c r="I37">
        <v>53</v>
      </c>
      <c r="J37">
        <v>0.002564</v>
      </c>
      <c r="K37">
        <v>22</v>
      </c>
      <c r="L37">
        <v>1</v>
      </c>
      <c r="M37">
        <v>0.004959</v>
      </c>
      <c r="N37">
        <v>7</v>
      </c>
      <c r="O37" s="2">
        <v>9e-6</v>
      </c>
      <c r="P37">
        <v>7</v>
      </c>
      <c r="Q37">
        <v>0.010842</v>
      </c>
      <c r="S37">
        <f t="shared" si="0"/>
        <v>64.7058823529412</v>
      </c>
      <c r="T37">
        <f t="shared" si="1"/>
        <v>44.7916666666667</v>
      </c>
    </row>
    <row r="38" spans="1:20">
      <c r="A38" s="1" t="s">
        <v>67</v>
      </c>
      <c r="B38">
        <v>72</v>
      </c>
      <c r="C38">
        <v>129</v>
      </c>
      <c r="D38">
        <v>12</v>
      </c>
      <c r="E38">
        <v>53</v>
      </c>
      <c r="F38" s="4" t="s">
        <v>149</v>
      </c>
      <c r="G38">
        <v>35</v>
      </c>
      <c r="H38" s="4" t="s">
        <v>150</v>
      </c>
      <c r="I38">
        <v>35</v>
      </c>
      <c r="J38">
        <v>0.005006</v>
      </c>
      <c r="K38">
        <v>7</v>
      </c>
      <c r="L38">
        <v>0</v>
      </c>
      <c r="M38">
        <v>0.00377</v>
      </c>
      <c r="N38">
        <v>7</v>
      </c>
      <c r="O38" s="4" t="s">
        <v>92</v>
      </c>
      <c r="P38">
        <v>7</v>
      </c>
      <c r="Q38">
        <v>0.014404</v>
      </c>
      <c r="S38">
        <f t="shared" si="0"/>
        <v>83.3333333333333</v>
      </c>
      <c r="T38">
        <f t="shared" si="1"/>
        <v>72.8682170542636</v>
      </c>
    </row>
    <row r="39" spans="1:20">
      <c r="A39" s="1" t="s">
        <v>70</v>
      </c>
      <c r="B39">
        <v>80</v>
      </c>
      <c r="C39">
        <v>226</v>
      </c>
      <c r="D39">
        <v>18</v>
      </c>
      <c r="E39">
        <v>103</v>
      </c>
      <c r="F39" s="2">
        <v>1.8e-5</v>
      </c>
      <c r="G39">
        <v>80</v>
      </c>
      <c r="H39" s="2">
        <v>8.6e-5</v>
      </c>
      <c r="I39">
        <v>80</v>
      </c>
      <c r="J39" s="2">
        <v>0.005658</v>
      </c>
      <c r="K39">
        <v>26</v>
      </c>
      <c r="L39">
        <v>2</v>
      </c>
      <c r="M39">
        <v>0.069337</v>
      </c>
      <c r="N39">
        <v>8</v>
      </c>
      <c r="O39" s="2">
        <v>1.7e-5</v>
      </c>
      <c r="P39">
        <v>9</v>
      </c>
      <c r="Q39">
        <v>0.079602</v>
      </c>
      <c r="S39">
        <f t="shared" si="0"/>
        <v>77.5</v>
      </c>
      <c r="T39">
        <f t="shared" si="1"/>
        <v>64.6017699115044</v>
      </c>
    </row>
    <row r="40" spans="1:20">
      <c r="A40" s="1" t="s">
        <v>72</v>
      </c>
      <c r="B40">
        <v>34</v>
      </c>
      <c r="C40">
        <v>41</v>
      </c>
      <c r="D40">
        <v>6</v>
      </c>
      <c r="E40">
        <v>14</v>
      </c>
      <c r="F40" s="2">
        <v>5e-6</v>
      </c>
      <c r="G40">
        <v>14</v>
      </c>
      <c r="H40" s="2">
        <v>9e-6</v>
      </c>
      <c r="I40">
        <v>14</v>
      </c>
      <c r="J40" s="4" t="s">
        <v>80</v>
      </c>
      <c r="K40">
        <v>2</v>
      </c>
      <c r="L40">
        <v>1</v>
      </c>
      <c r="M40">
        <v>0.00723</v>
      </c>
      <c r="N40">
        <v>4</v>
      </c>
      <c r="O40" s="2">
        <v>6e-6</v>
      </c>
      <c r="P40">
        <v>4</v>
      </c>
      <c r="Q40">
        <v>0.013792</v>
      </c>
      <c r="S40">
        <f t="shared" si="0"/>
        <v>82.3529411764706</v>
      </c>
      <c r="T40">
        <f t="shared" si="1"/>
        <v>65.8536585365854</v>
      </c>
    </row>
    <row r="41" spans="1:20">
      <c r="A41" s="1" t="s">
        <v>74</v>
      </c>
      <c r="B41">
        <v>31</v>
      </c>
      <c r="C41">
        <v>39</v>
      </c>
      <c r="D41">
        <v>6</v>
      </c>
      <c r="E41">
        <v>15</v>
      </c>
      <c r="F41" s="2">
        <v>4e-6</v>
      </c>
      <c r="G41">
        <v>15</v>
      </c>
      <c r="H41" s="4" t="s">
        <v>66</v>
      </c>
      <c r="I41">
        <v>15</v>
      </c>
      <c r="J41" s="4" t="s">
        <v>25</v>
      </c>
      <c r="K41">
        <v>1</v>
      </c>
      <c r="L41">
        <v>0</v>
      </c>
      <c r="M41">
        <v>0.002738</v>
      </c>
      <c r="N41">
        <v>5</v>
      </c>
      <c r="O41" s="2">
        <v>6e-6</v>
      </c>
      <c r="P41">
        <v>5</v>
      </c>
      <c r="Q41">
        <v>0.013077</v>
      </c>
      <c r="S41">
        <f t="shared" si="0"/>
        <v>80.6451612903226</v>
      </c>
      <c r="T41">
        <f t="shared" si="1"/>
        <v>61.5384615384615</v>
      </c>
    </row>
    <row r="42" spans="1:20">
      <c r="A42" s="1" t="s">
        <v>76</v>
      </c>
      <c r="B42">
        <v>135</v>
      </c>
      <c r="C42">
        <v>1078</v>
      </c>
      <c r="D42">
        <v>34</v>
      </c>
      <c r="E42">
        <v>451</v>
      </c>
      <c r="F42" s="2">
        <v>6.5e-5</v>
      </c>
      <c r="G42">
        <v>407</v>
      </c>
      <c r="H42">
        <v>0.000729</v>
      </c>
      <c r="I42">
        <v>407</v>
      </c>
      <c r="J42">
        <v>0.014394</v>
      </c>
      <c r="K42">
        <v>31</v>
      </c>
      <c r="L42">
        <v>0</v>
      </c>
      <c r="M42">
        <v>0.008662</v>
      </c>
      <c r="N42">
        <v>21</v>
      </c>
      <c r="O42" s="2">
        <v>8.6e-5</v>
      </c>
      <c r="P42">
        <v>21</v>
      </c>
      <c r="Q42">
        <v>0.036055</v>
      </c>
      <c r="S42">
        <f t="shared" si="0"/>
        <v>74.8148148148148</v>
      </c>
      <c r="T42">
        <f t="shared" si="1"/>
        <v>62.2448979591837</v>
      </c>
    </row>
    <row r="43" spans="1:20">
      <c r="A43" s="1" t="s">
        <v>79</v>
      </c>
      <c r="B43">
        <v>13</v>
      </c>
      <c r="C43">
        <v>7</v>
      </c>
      <c r="D43">
        <v>1</v>
      </c>
      <c r="E43">
        <v>0</v>
      </c>
      <c r="F43" s="2">
        <v>1e-6</v>
      </c>
      <c r="G43">
        <v>0</v>
      </c>
      <c r="H43" s="2">
        <v>0</v>
      </c>
      <c r="I43">
        <v>0</v>
      </c>
      <c r="J43">
        <v>0</v>
      </c>
      <c r="K43">
        <v>0</v>
      </c>
      <c r="L43">
        <v>0</v>
      </c>
      <c r="M43">
        <v>0.002012</v>
      </c>
      <c r="N43">
        <v>2</v>
      </c>
      <c r="O43" s="2">
        <v>4e-6</v>
      </c>
      <c r="P43">
        <v>2</v>
      </c>
      <c r="Q43">
        <v>0.006274</v>
      </c>
      <c r="S43">
        <f t="shared" si="0"/>
        <v>92.3076923076923</v>
      </c>
      <c r="T43">
        <f t="shared" si="1"/>
        <v>100</v>
      </c>
    </row>
    <row r="44" spans="1:20">
      <c r="A44" s="1" t="s">
        <v>81</v>
      </c>
      <c r="B44">
        <v>5</v>
      </c>
      <c r="C44">
        <v>6</v>
      </c>
      <c r="D44">
        <v>4</v>
      </c>
      <c r="E44">
        <v>5</v>
      </c>
      <c r="F44" s="2">
        <v>5e-6</v>
      </c>
      <c r="G44">
        <v>5</v>
      </c>
      <c r="H44" s="2">
        <v>9e-6</v>
      </c>
      <c r="I44">
        <v>5</v>
      </c>
      <c r="J44" s="4" t="s">
        <v>25</v>
      </c>
      <c r="K44">
        <v>2</v>
      </c>
      <c r="L44">
        <v>1</v>
      </c>
      <c r="M44">
        <v>0.00644</v>
      </c>
      <c r="N44">
        <v>2</v>
      </c>
      <c r="O44" s="2">
        <v>6e-6</v>
      </c>
      <c r="P44">
        <v>2</v>
      </c>
      <c r="Q44">
        <v>0.017961</v>
      </c>
      <c r="S44">
        <f t="shared" si="0"/>
        <v>20</v>
      </c>
      <c r="T44">
        <f t="shared" si="1"/>
        <v>16.6666666666667</v>
      </c>
    </row>
    <row r="45" spans="1:20">
      <c r="A45" s="1" t="s">
        <v>83</v>
      </c>
      <c r="B45">
        <v>22</v>
      </c>
      <c r="C45">
        <v>12</v>
      </c>
      <c r="D45">
        <v>2</v>
      </c>
      <c r="E45">
        <v>1</v>
      </c>
      <c r="F45" s="2">
        <v>6e-6</v>
      </c>
      <c r="G45">
        <v>0</v>
      </c>
      <c r="H45" s="2">
        <v>5e-6</v>
      </c>
      <c r="I45">
        <v>0</v>
      </c>
      <c r="J45" s="4" t="s">
        <v>25</v>
      </c>
      <c r="K45">
        <v>0</v>
      </c>
      <c r="L45">
        <v>0</v>
      </c>
      <c r="M45">
        <v>0.001921</v>
      </c>
      <c r="N45">
        <v>2</v>
      </c>
      <c r="O45" s="2">
        <v>1e-5</v>
      </c>
      <c r="P45">
        <v>2</v>
      </c>
      <c r="Q45">
        <v>0.010427</v>
      </c>
      <c r="S45">
        <f t="shared" si="0"/>
        <v>90.9090909090909</v>
      </c>
      <c r="T45">
        <f t="shared" si="1"/>
        <v>100</v>
      </c>
    </row>
    <row r="46" spans="1:20">
      <c r="A46" s="1" t="s">
        <v>85</v>
      </c>
      <c r="B46">
        <v>62</v>
      </c>
      <c r="C46">
        <v>442</v>
      </c>
      <c r="D46">
        <v>22</v>
      </c>
      <c r="E46">
        <v>207</v>
      </c>
      <c r="F46" s="4" t="s">
        <v>151</v>
      </c>
      <c r="G46">
        <v>168</v>
      </c>
      <c r="H46">
        <v>0.000219</v>
      </c>
      <c r="I46">
        <v>168</v>
      </c>
      <c r="J46">
        <v>0.007798</v>
      </c>
      <c r="K46">
        <v>15</v>
      </c>
      <c r="L46">
        <v>0</v>
      </c>
      <c r="M46">
        <v>0.004846</v>
      </c>
      <c r="N46">
        <v>16</v>
      </c>
      <c r="O46" s="4" t="s">
        <v>152</v>
      </c>
      <c r="P46">
        <v>16</v>
      </c>
      <c r="Q46">
        <v>0.017489</v>
      </c>
      <c r="S46">
        <f t="shared" si="0"/>
        <v>64.5161290322581</v>
      </c>
      <c r="T46">
        <f t="shared" si="1"/>
        <v>61.9909502262443</v>
      </c>
    </row>
    <row r="47" spans="1:20">
      <c r="A47" s="1" t="s">
        <v>87</v>
      </c>
      <c r="B47">
        <v>21</v>
      </c>
      <c r="C47">
        <v>23</v>
      </c>
      <c r="D47">
        <v>6</v>
      </c>
      <c r="E47">
        <v>15</v>
      </c>
      <c r="F47" s="4" t="s">
        <v>84</v>
      </c>
      <c r="G47">
        <v>15</v>
      </c>
      <c r="H47" s="4" t="s">
        <v>66</v>
      </c>
      <c r="I47">
        <v>15</v>
      </c>
      <c r="J47" s="4" t="s">
        <v>25</v>
      </c>
      <c r="K47">
        <v>1</v>
      </c>
      <c r="L47">
        <v>0</v>
      </c>
      <c r="M47">
        <v>0.002877</v>
      </c>
      <c r="N47">
        <v>5</v>
      </c>
      <c r="O47" s="4" t="s">
        <v>63</v>
      </c>
      <c r="P47">
        <v>5</v>
      </c>
      <c r="Q47">
        <v>0.009054</v>
      </c>
      <c r="S47">
        <f t="shared" si="0"/>
        <v>71.4285714285714</v>
      </c>
      <c r="T47">
        <f t="shared" si="1"/>
        <v>34.7826086956522</v>
      </c>
    </row>
    <row r="48" spans="1:20">
      <c r="A48" s="1" t="s">
        <v>88</v>
      </c>
      <c r="B48">
        <v>10</v>
      </c>
      <c r="C48">
        <v>5</v>
      </c>
      <c r="D48">
        <v>0</v>
      </c>
      <c r="E48">
        <v>0</v>
      </c>
      <c r="F48" s="4" t="s">
        <v>80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0.001919</v>
      </c>
      <c r="N48">
        <v>2</v>
      </c>
      <c r="O48" s="4" t="s">
        <v>84</v>
      </c>
      <c r="P48">
        <v>2</v>
      </c>
      <c r="Q48">
        <v>0.0056</v>
      </c>
      <c r="S48">
        <f t="shared" si="0"/>
        <v>100</v>
      </c>
      <c r="T48">
        <f t="shared" si="1"/>
        <v>100</v>
      </c>
    </row>
    <row r="49" spans="1:20">
      <c r="A49" s="1" t="s">
        <v>89</v>
      </c>
      <c r="B49">
        <v>27</v>
      </c>
      <c r="C49">
        <v>26</v>
      </c>
      <c r="D49">
        <v>12</v>
      </c>
      <c r="E49">
        <v>16</v>
      </c>
      <c r="F49" s="4" t="s">
        <v>63</v>
      </c>
      <c r="G49">
        <v>13</v>
      </c>
      <c r="H49" s="4" t="s">
        <v>66</v>
      </c>
      <c r="I49">
        <v>10</v>
      </c>
      <c r="J49">
        <v>0.002919</v>
      </c>
      <c r="K49">
        <v>2</v>
      </c>
      <c r="L49">
        <v>1</v>
      </c>
      <c r="M49">
        <v>0.003025</v>
      </c>
      <c r="N49">
        <v>2</v>
      </c>
      <c r="O49" s="4" t="s">
        <v>73</v>
      </c>
      <c r="P49">
        <v>3</v>
      </c>
      <c r="Q49">
        <v>0.009417</v>
      </c>
      <c r="S49">
        <f t="shared" si="0"/>
        <v>55.5555555555556</v>
      </c>
      <c r="T49">
        <f t="shared" si="1"/>
        <v>61.5384615384615</v>
      </c>
    </row>
    <row r="50" spans="1:20">
      <c r="A50" s="1" t="s">
        <v>90</v>
      </c>
      <c r="B50">
        <v>273</v>
      </c>
      <c r="C50">
        <v>4510</v>
      </c>
      <c r="D50">
        <v>91</v>
      </c>
      <c r="E50">
        <v>2568</v>
      </c>
      <c r="F50">
        <v>0.00033</v>
      </c>
      <c r="G50">
        <v>2461</v>
      </c>
      <c r="H50">
        <v>0.010217</v>
      </c>
      <c r="I50">
        <v>2442</v>
      </c>
      <c r="J50">
        <v>0.753321</v>
      </c>
      <c r="K50">
        <v>478</v>
      </c>
      <c r="L50">
        <v>21</v>
      </c>
      <c r="M50">
        <v>0.071564</v>
      </c>
      <c r="N50">
        <v>32</v>
      </c>
      <c r="O50">
        <v>0.000576</v>
      </c>
      <c r="P50">
        <v>39</v>
      </c>
      <c r="Q50">
        <v>0.914891</v>
      </c>
      <c r="S50">
        <f t="shared" si="0"/>
        <v>66.6666666666667</v>
      </c>
      <c r="T50">
        <f t="shared" si="1"/>
        <v>45.8536585365854</v>
      </c>
    </row>
    <row r="51" spans="1:20">
      <c r="A51" s="1" t="s">
        <v>91</v>
      </c>
      <c r="B51">
        <v>102</v>
      </c>
      <c r="C51">
        <v>108</v>
      </c>
      <c r="D51">
        <v>11</v>
      </c>
      <c r="E51">
        <v>33</v>
      </c>
      <c r="F51" s="2">
        <v>8e-6</v>
      </c>
      <c r="G51">
        <v>33</v>
      </c>
      <c r="H51" s="4" t="s">
        <v>92</v>
      </c>
      <c r="I51">
        <v>33</v>
      </c>
      <c r="J51" s="2">
        <v>0.00287</v>
      </c>
      <c r="K51">
        <v>5</v>
      </c>
      <c r="L51">
        <v>1</v>
      </c>
      <c r="M51">
        <v>0.002628</v>
      </c>
      <c r="N51">
        <v>4</v>
      </c>
      <c r="O51" s="4" t="s">
        <v>48</v>
      </c>
      <c r="P51">
        <v>5</v>
      </c>
      <c r="Q51">
        <v>0.00911</v>
      </c>
      <c r="S51">
        <f t="shared" si="0"/>
        <v>89.2156862745098</v>
      </c>
      <c r="T51">
        <f t="shared" si="1"/>
        <v>69.4444444444444</v>
      </c>
    </row>
    <row r="52" spans="1:20">
      <c r="A52" s="1" t="s">
        <v>93</v>
      </c>
      <c r="B52">
        <v>8</v>
      </c>
      <c r="C52">
        <v>4</v>
      </c>
      <c r="D52">
        <v>0</v>
      </c>
      <c r="E52">
        <v>0</v>
      </c>
      <c r="F52" s="2">
        <v>1e-6</v>
      </c>
      <c r="G52">
        <v>0</v>
      </c>
      <c r="H52" s="2">
        <v>0</v>
      </c>
      <c r="I52">
        <v>0</v>
      </c>
      <c r="J52">
        <v>0</v>
      </c>
      <c r="K52">
        <v>0</v>
      </c>
      <c r="L52">
        <v>0</v>
      </c>
      <c r="M52">
        <v>0.002025</v>
      </c>
      <c r="N52">
        <v>2</v>
      </c>
      <c r="O52" s="2">
        <v>2e-6</v>
      </c>
      <c r="P52">
        <v>2</v>
      </c>
      <c r="Q52">
        <v>0.00565</v>
      </c>
      <c r="S52">
        <f t="shared" si="0"/>
        <v>100</v>
      </c>
      <c r="T52">
        <f t="shared" si="1"/>
        <v>100</v>
      </c>
    </row>
    <row r="53" spans="1:20">
      <c r="A53" s="1" t="s">
        <v>94</v>
      </c>
      <c r="B53">
        <v>55</v>
      </c>
      <c r="C53">
        <v>60</v>
      </c>
      <c r="D53">
        <v>8</v>
      </c>
      <c r="E53">
        <v>20</v>
      </c>
      <c r="F53" s="4" t="s">
        <v>75</v>
      </c>
      <c r="G53">
        <v>10</v>
      </c>
      <c r="H53" s="4" t="s">
        <v>31</v>
      </c>
      <c r="I53">
        <v>10</v>
      </c>
      <c r="J53">
        <v>0.003901</v>
      </c>
      <c r="K53">
        <v>4</v>
      </c>
      <c r="L53">
        <v>0</v>
      </c>
      <c r="M53">
        <v>0.003414</v>
      </c>
      <c r="N53">
        <v>4</v>
      </c>
      <c r="O53" s="4" t="s">
        <v>66</v>
      </c>
      <c r="P53">
        <v>4</v>
      </c>
      <c r="Q53">
        <v>0.013368</v>
      </c>
      <c r="S53">
        <f t="shared" si="0"/>
        <v>85.4545454545455</v>
      </c>
      <c r="T53">
        <f t="shared" si="1"/>
        <v>83.3333333333333</v>
      </c>
    </row>
    <row r="54" spans="1:20">
      <c r="A54" s="1" t="s">
        <v>95</v>
      </c>
      <c r="B54">
        <v>127</v>
      </c>
      <c r="C54">
        <v>931</v>
      </c>
      <c r="D54">
        <v>38</v>
      </c>
      <c r="E54">
        <v>449</v>
      </c>
      <c r="F54" s="2">
        <v>6.2e-5</v>
      </c>
      <c r="G54">
        <v>408</v>
      </c>
      <c r="H54" s="2">
        <v>0.00065</v>
      </c>
      <c r="I54">
        <v>408</v>
      </c>
      <c r="J54">
        <v>0.019009</v>
      </c>
      <c r="K54">
        <v>96</v>
      </c>
      <c r="L54">
        <v>2</v>
      </c>
      <c r="M54">
        <v>0.005784</v>
      </c>
      <c r="N54">
        <v>16</v>
      </c>
      <c r="O54" s="2">
        <v>7.1e-5</v>
      </c>
      <c r="P54">
        <v>17</v>
      </c>
      <c r="Q54">
        <v>0.032138</v>
      </c>
      <c r="S54">
        <f t="shared" si="0"/>
        <v>70.0787401574803</v>
      </c>
      <c r="T54">
        <f t="shared" si="1"/>
        <v>56.1761546723953</v>
      </c>
    </row>
    <row r="55" spans="1:20">
      <c r="A55" s="1" t="s">
        <v>98</v>
      </c>
      <c r="B55">
        <v>16</v>
      </c>
      <c r="C55">
        <v>13</v>
      </c>
      <c r="D55">
        <v>5</v>
      </c>
      <c r="E55">
        <v>5</v>
      </c>
      <c r="F55" s="4" t="s">
        <v>80</v>
      </c>
      <c r="G55">
        <v>5</v>
      </c>
      <c r="H55" s="4" t="s">
        <v>63</v>
      </c>
      <c r="I55">
        <v>5</v>
      </c>
      <c r="J55">
        <v>0</v>
      </c>
      <c r="K55">
        <v>2</v>
      </c>
      <c r="L55">
        <v>1</v>
      </c>
      <c r="M55">
        <v>0.005438</v>
      </c>
      <c r="N55">
        <v>2</v>
      </c>
      <c r="O55" s="4" t="s">
        <v>63</v>
      </c>
      <c r="P55">
        <v>2</v>
      </c>
      <c r="Q55">
        <v>0.014672</v>
      </c>
      <c r="S55">
        <f t="shared" si="0"/>
        <v>68.75</v>
      </c>
      <c r="T55">
        <f t="shared" si="1"/>
        <v>61.5384615384615</v>
      </c>
    </row>
    <row r="56" spans="1:20">
      <c r="A56" s="1" t="s">
        <v>99</v>
      </c>
      <c r="B56">
        <v>35</v>
      </c>
      <c r="C56">
        <v>368</v>
      </c>
      <c r="D56">
        <v>27</v>
      </c>
      <c r="E56">
        <v>351</v>
      </c>
      <c r="F56" s="2">
        <v>3.5e-5</v>
      </c>
      <c r="G56">
        <v>351</v>
      </c>
      <c r="H56" s="2">
        <v>0.000476</v>
      </c>
      <c r="I56">
        <v>351</v>
      </c>
      <c r="J56" s="4" t="s">
        <v>21</v>
      </c>
      <c r="K56">
        <v>1</v>
      </c>
      <c r="L56">
        <v>0</v>
      </c>
      <c r="M56">
        <v>0.006694</v>
      </c>
      <c r="N56">
        <v>26</v>
      </c>
      <c r="O56" s="2">
        <v>2.4e-5</v>
      </c>
      <c r="P56">
        <v>26</v>
      </c>
      <c r="Q56">
        <v>0.014096</v>
      </c>
      <c r="S56">
        <f t="shared" si="0"/>
        <v>22.8571428571429</v>
      </c>
      <c r="T56">
        <f t="shared" si="1"/>
        <v>4.61956521739131</v>
      </c>
    </row>
    <row r="57" spans="1:20">
      <c r="A57" s="1" t="s">
        <v>102</v>
      </c>
      <c r="B57">
        <v>26</v>
      </c>
      <c r="C57">
        <v>15</v>
      </c>
      <c r="D57">
        <v>3</v>
      </c>
      <c r="E57">
        <v>1</v>
      </c>
      <c r="F57" s="4" t="s">
        <v>80</v>
      </c>
      <c r="G57">
        <v>0</v>
      </c>
      <c r="H57" s="4" t="s">
        <v>80</v>
      </c>
      <c r="I57">
        <v>0</v>
      </c>
      <c r="J57">
        <v>0</v>
      </c>
      <c r="K57">
        <v>0</v>
      </c>
      <c r="L57">
        <v>0</v>
      </c>
      <c r="M57">
        <v>0.026506</v>
      </c>
      <c r="N57">
        <v>2</v>
      </c>
      <c r="O57" s="4" t="s">
        <v>63</v>
      </c>
      <c r="P57">
        <v>2</v>
      </c>
      <c r="Q57">
        <v>0.029752</v>
      </c>
      <c r="S57">
        <f t="shared" si="0"/>
        <v>88.4615384615385</v>
      </c>
      <c r="T57">
        <f t="shared" si="1"/>
        <v>100</v>
      </c>
    </row>
    <row r="58" spans="1:20">
      <c r="A58" s="1" t="s">
        <v>103</v>
      </c>
      <c r="B58">
        <v>14</v>
      </c>
      <c r="C58">
        <v>11</v>
      </c>
      <c r="D58">
        <v>5</v>
      </c>
      <c r="E58">
        <v>3</v>
      </c>
      <c r="F58" s="2">
        <v>2e-6</v>
      </c>
      <c r="G58">
        <v>3</v>
      </c>
      <c r="H58" s="2">
        <v>3e-6</v>
      </c>
      <c r="I58">
        <v>3</v>
      </c>
      <c r="J58">
        <v>0</v>
      </c>
      <c r="K58">
        <v>1</v>
      </c>
      <c r="L58">
        <v>0</v>
      </c>
      <c r="M58">
        <v>0.003083</v>
      </c>
      <c r="N58">
        <v>2</v>
      </c>
      <c r="O58" s="2">
        <v>3e-6</v>
      </c>
      <c r="P58">
        <v>2</v>
      </c>
      <c r="Q58">
        <v>0.014453</v>
      </c>
      <c r="S58">
        <f t="shared" si="0"/>
        <v>64.2857142857143</v>
      </c>
      <c r="T58">
        <f t="shared" si="1"/>
        <v>72.7272727272727</v>
      </c>
    </row>
    <row r="59" spans="1:20">
      <c r="A59" s="1" t="s">
        <v>104</v>
      </c>
      <c r="B59">
        <v>28</v>
      </c>
      <c r="C59">
        <v>91</v>
      </c>
      <c r="D59">
        <v>12</v>
      </c>
      <c r="E59">
        <v>55</v>
      </c>
      <c r="F59" s="4" t="s">
        <v>82</v>
      </c>
      <c r="G59">
        <v>55</v>
      </c>
      <c r="H59" s="4" t="s">
        <v>69</v>
      </c>
      <c r="I59">
        <v>55</v>
      </c>
      <c r="J59">
        <v>0.002478</v>
      </c>
      <c r="K59">
        <v>21</v>
      </c>
      <c r="L59">
        <v>0</v>
      </c>
      <c r="M59">
        <v>0.002612</v>
      </c>
      <c r="N59">
        <v>7</v>
      </c>
      <c r="O59" s="4" t="s">
        <v>82</v>
      </c>
      <c r="P59">
        <v>7</v>
      </c>
      <c r="Q59">
        <v>0.008124</v>
      </c>
      <c r="S59">
        <f t="shared" si="0"/>
        <v>57.1428571428571</v>
      </c>
      <c r="T59">
        <f t="shared" si="1"/>
        <v>39.5604395604396</v>
      </c>
    </row>
    <row r="60" spans="1:20">
      <c r="A60" s="1" t="s">
        <v>105</v>
      </c>
      <c r="B60">
        <v>26</v>
      </c>
      <c r="C60">
        <v>18</v>
      </c>
      <c r="D60">
        <v>6</v>
      </c>
      <c r="E60">
        <v>6</v>
      </c>
      <c r="F60" s="2">
        <v>9e-6</v>
      </c>
      <c r="G60">
        <v>5</v>
      </c>
      <c r="H60" s="4" t="s">
        <v>106</v>
      </c>
      <c r="I60">
        <v>4</v>
      </c>
      <c r="J60">
        <v>0.004463</v>
      </c>
      <c r="K60">
        <v>1</v>
      </c>
      <c r="L60">
        <v>0</v>
      </c>
      <c r="M60">
        <v>0.003573</v>
      </c>
      <c r="N60">
        <v>2</v>
      </c>
      <c r="O60" s="2">
        <v>1.2e-5</v>
      </c>
      <c r="P60">
        <v>2</v>
      </c>
      <c r="Q60">
        <v>0.025471</v>
      </c>
      <c r="S60">
        <f t="shared" si="0"/>
        <v>76.9230769230769</v>
      </c>
      <c r="T60">
        <f t="shared" si="1"/>
        <v>77.7777777777778</v>
      </c>
    </row>
    <row r="61" spans="1:20">
      <c r="A61" s="1" t="s">
        <v>108</v>
      </c>
      <c r="B61">
        <v>13</v>
      </c>
      <c r="C61">
        <v>8</v>
      </c>
      <c r="D61">
        <v>2</v>
      </c>
      <c r="E61">
        <v>1</v>
      </c>
      <c r="F61" s="2">
        <v>2e-6</v>
      </c>
      <c r="G61">
        <v>0</v>
      </c>
      <c r="H61" s="4" t="s">
        <v>80</v>
      </c>
      <c r="I61">
        <v>0</v>
      </c>
      <c r="J61">
        <v>0</v>
      </c>
      <c r="K61">
        <v>0</v>
      </c>
      <c r="L61">
        <v>0</v>
      </c>
      <c r="M61">
        <v>0.002034</v>
      </c>
      <c r="N61">
        <v>2</v>
      </c>
      <c r="O61" s="2">
        <v>3e-6</v>
      </c>
      <c r="P61">
        <v>2</v>
      </c>
      <c r="Q61">
        <v>0.010107</v>
      </c>
      <c r="S61">
        <f t="shared" si="0"/>
        <v>84.6153846153846</v>
      </c>
      <c r="T61">
        <f t="shared" si="1"/>
        <v>100</v>
      </c>
    </row>
    <row r="62" spans="1:20">
      <c r="A62" s="1" t="s">
        <v>109</v>
      </c>
      <c r="B62">
        <v>18</v>
      </c>
      <c r="C62">
        <v>12</v>
      </c>
      <c r="D62">
        <v>5</v>
      </c>
      <c r="E62">
        <v>3</v>
      </c>
      <c r="F62" s="2">
        <v>2e-6</v>
      </c>
      <c r="G62">
        <v>3</v>
      </c>
      <c r="H62" s="2">
        <v>3e-6</v>
      </c>
      <c r="I62">
        <v>3</v>
      </c>
      <c r="J62" s="4" t="s">
        <v>25</v>
      </c>
      <c r="K62">
        <v>1</v>
      </c>
      <c r="L62">
        <v>0</v>
      </c>
      <c r="M62">
        <v>0.003329</v>
      </c>
      <c r="N62">
        <v>2</v>
      </c>
      <c r="O62" s="2">
        <v>4e-6</v>
      </c>
      <c r="P62">
        <v>2</v>
      </c>
      <c r="Q62">
        <v>0.021572</v>
      </c>
      <c r="S62">
        <f t="shared" si="0"/>
        <v>72.2222222222222</v>
      </c>
      <c r="T62">
        <f t="shared" si="1"/>
        <v>75</v>
      </c>
    </row>
    <row r="63" spans="1:20">
      <c r="A63" s="1" t="s">
        <v>110</v>
      </c>
      <c r="B63">
        <v>7</v>
      </c>
      <c r="C63">
        <v>5</v>
      </c>
      <c r="D63">
        <v>3</v>
      </c>
      <c r="E63">
        <v>3</v>
      </c>
      <c r="F63" s="4" t="s">
        <v>25</v>
      </c>
      <c r="G63">
        <v>3</v>
      </c>
      <c r="H63" s="4" t="s">
        <v>80</v>
      </c>
      <c r="I63">
        <v>3</v>
      </c>
      <c r="J63">
        <v>0</v>
      </c>
      <c r="K63">
        <v>1</v>
      </c>
      <c r="L63">
        <v>0</v>
      </c>
      <c r="M63">
        <v>0.002615</v>
      </c>
      <c r="N63">
        <v>2</v>
      </c>
      <c r="O63" s="4" t="s">
        <v>21</v>
      </c>
      <c r="P63">
        <v>2</v>
      </c>
      <c r="Q63">
        <v>0.016383</v>
      </c>
      <c r="S63">
        <f t="shared" si="0"/>
        <v>57.1428571428571</v>
      </c>
      <c r="T63">
        <f t="shared" si="1"/>
        <v>40</v>
      </c>
    </row>
    <row r="64" spans="1:20">
      <c r="A64" s="1" t="s">
        <v>111</v>
      </c>
      <c r="B64">
        <v>2623</v>
      </c>
      <c r="C64">
        <v>473614</v>
      </c>
      <c r="D64">
        <v>1174</v>
      </c>
      <c r="E64">
        <v>431300</v>
      </c>
      <c r="F64" s="2">
        <v>0.059354</v>
      </c>
      <c r="G64">
        <v>430923</v>
      </c>
      <c r="H64" s="2">
        <v>41.8008</v>
      </c>
      <c r="I64">
        <v>430923</v>
      </c>
      <c r="J64">
        <v>472.665</v>
      </c>
      <c r="K64">
        <v>777</v>
      </c>
      <c r="L64">
        <v>0</v>
      </c>
      <c r="M64">
        <v>-1</v>
      </c>
      <c r="N64">
        <v>239</v>
      </c>
      <c r="O64" s="2">
        <v>0.851925</v>
      </c>
      <c r="P64">
        <v>239</v>
      </c>
      <c r="Q64">
        <v>600</v>
      </c>
      <c r="S64">
        <f t="shared" si="0"/>
        <v>55.2420892108273</v>
      </c>
      <c r="T64">
        <f t="shared" si="1"/>
        <v>9.01388050184327</v>
      </c>
    </row>
    <row r="65" spans="1:20">
      <c r="A65" s="1" t="s">
        <v>112</v>
      </c>
      <c r="B65">
        <v>56739</v>
      </c>
      <c r="C65">
        <v>212945</v>
      </c>
      <c r="D65">
        <v>5850</v>
      </c>
      <c r="E65">
        <v>86214</v>
      </c>
      <c r="F65">
        <v>0.016142</v>
      </c>
      <c r="G65">
        <v>30948</v>
      </c>
      <c r="H65">
        <v>0.191756</v>
      </c>
      <c r="I65">
        <v>30751</v>
      </c>
      <c r="J65">
        <v>0.52192</v>
      </c>
      <c r="K65">
        <v>3350</v>
      </c>
      <c r="L65">
        <v>0</v>
      </c>
      <c r="M65">
        <v>-1</v>
      </c>
      <c r="N65">
        <v>10</v>
      </c>
      <c r="O65">
        <v>0.016885</v>
      </c>
      <c r="P65">
        <v>20</v>
      </c>
      <c r="Q65">
        <v>600</v>
      </c>
      <c r="S65">
        <f t="shared" si="0"/>
        <v>89.6896314704172</v>
      </c>
      <c r="T65">
        <f t="shared" si="1"/>
        <v>85.5591819483904</v>
      </c>
    </row>
    <row r="66" spans="1:20">
      <c r="A66" s="1" t="s">
        <v>113</v>
      </c>
      <c r="B66">
        <v>62</v>
      </c>
      <c r="C66">
        <v>159</v>
      </c>
      <c r="D66">
        <v>31</v>
      </c>
      <c r="E66">
        <v>90</v>
      </c>
      <c r="F66" s="2">
        <v>1.7e-5</v>
      </c>
      <c r="G66">
        <v>0</v>
      </c>
      <c r="H66" s="4" t="s">
        <v>153</v>
      </c>
      <c r="I66">
        <v>0</v>
      </c>
      <c r="J66" s="2">
        <v>0</v>
      </c>
      <c r="K66">
        <v>0</v>
      </c>
      <c r="L66">
        <v>0</v>
      </c>
      <c r="M66">
        <v>0.001869</v>
      </c>
      <c r="N66">
        <v>5</v>
      </c>
      <c r="O66" s="2">
        <v>1.3e-5</v>
      </c>
      <c r="P66">
        <v>5</v>
      </c>
      <c r="Q66">
        <v>0.007993</v>
      </c>
      <c r="S66">
        <f t="shared" ref="S66:S96" si="2">(1-D66/B66)*100</f>
        <v>50</v>
      </c>
      <c r="T66">
        <f t="shared" ref="T66:T96" si="3">(1-I66/C66)*100</f>
        <v>100</v>
      </c>
    </row>
    <row r="67" spans="1:20">
      <c r="A67" s="1" t="s">
        <v>116</v>
      </c>
      <c r="B67">
        <v>154908</v>
      </c>
      <c r="C67">
        <v>327162</v>
      </c>
      <c r="D67">
        <v>20530</v>
      </c>
      <c r="E67">
        <v>153162</v>
      </c>
      <c r="F67">
        <v>0.033019</v>
      </c>
      <c r="G67">
        <v>11032</v>
      </c>
      <c r="H67">
        <v>0.113818</v>
      </c>
      <c r="I67">
        <v>10568</v>
      </c>
      <c r="J67">
        <v>0.058376</v>
      </c>
      <c r="K67">
        <v>1363</v>
      </c>
      <c r="L67">
        <v>0</v>
      </c>
      <c r="M67">
        <v>-1</v>
      </c>
      <c r="N67">
        <v>4</v>
      </c>
      <c r="O67">
        <v>0.028142</v>
      </c>
      <c r="P67">
        <v>4</v>
      </c>
      <c r="Q67">
        <v>600</v>
      </c>
      <c r="S67">
        <f t="shared" si="2"/>
        <v>86.7469723965192</v>
      </c>
      <c r="T67">
        <f t="shared" si="3"/>
        <v>96.7697960032033</v>
      </c>
    </row>
    <row r="68" spans="1:20">
      <c r="A68" s="1" t="s">
        <v>117</v>
      </c>
      <c r="B68">
        <v>26588</v>
      </c>
      <c r="C68">
        <v>100120</v>
      </c>
      <c r="D68">
        <v>4510</v>
      </c>
      <c r="E68">
        <v>60220</v>
      </c>
      <c r="F68">
        <v>0.009754</v>
      </c>
      <c r="G68">
        <v>20835</v>
      </c>
      <c r="H68">
        <v>0.10356</v>
      </c>
      <c r="I68">
        <v>20502</v>
      </c>
      <c r="J68">
        <v>0.165785</v>
      </c>
      <c r="K68">
        <v>1531</v>
      </c>
      <c r="L68">
        <v>0</v>
      </c>
      <c r="M68">
        <v>-1</v>
      </c>
      <c r="N68">
        <v>7</v>
      </c>
      <c r="O68">
        <v>0.007668</v>
      </c>
      <c r="P68">
        <v>10</v>
      </c>
      <c r="Q68">
        <v>600</v>
      </c>
      <c r="S68">
        <f t="shared" si="2"/>
        <v>83.0374605085001</v>
      </c>
      <c r="T68">
        <f t="shared" si="3"/>
        <v>79.522572912505</v>
      </c>
    </row>
    <row r="69" spans="1:20">
      <c r="A69" s="1" t="s">
        <v>118</v>
      </c>
      <c r="B69">
        <v>22900</v>
      </c>
      <c r="C69">
        <v>852419</v>
      </c>
      <c r="D69">
        <v>18142</v>
      </c>
      <c r="E69">
        <v>817998</v>
      </c>
      <c r="F69">
        <v>0.140893</v>
      </c>
      <c r="G69">
        <v>304728</v>
      </c>
      <c r="H69">
        <v>4.70939</v>
      </c>
      <c r="I69">
        <v>304389</v>
      </c>
      <c r="J69">
        <v>0.462891</v>
      </c>
      <c r="K69">
        <v>355</v>
      </c>
      <c r="L69">
        <v>0</v>
      </c>
      <c r="M69">
        <v>-1</v>
      </c>
      <c r="N69">
        <v>17</v>
      </c>
      <c r="O69">
        <v>0.132938</v>
      </c>
      <c r="P69">
        <v>28</v>
      </c>
      <c r="Q69">
        <v>600</v>
      </c>
      <c r="S69">
        <f t="shared" si="2"/>
        <v>20.7772925764192</v>
      </c>
      <c r="T69">
        <f t="shared" si="3"/>
        <v>64.2911525904514</v>
      </c>
    </row>
    <row r="70" spans="1:20">
      <c r="A70" s="1" t="s">
        <v>119</v>
      </c>
      <c r="B70">
        <v>6621</v>
      </c>
      <c r="C70">
        <v>249959</v>
      </c>
      <c r="D70">
        <v>5059</v>
      </c>
      <c r="E70">
        <v>237407</v>
      </c>
      <c r="F70" s="2">
        <v>0.03768</v>
      </c>
      <c r="G70">
        <v>117478</v>
      </c>
      <c r="H70">
        <v>1.53259</v>
      </c>
      <c r="I70">
        <v>117121</v>
      </c>
      <c r="J70">
        <v>0.489613</v>
      </c>
      <c r="K70">
        <v>320</v>
      </c>
      <c r="L70">
        <v>0</v>
      </c>
      <c r="M70">
        <v>-1</v>
      </c>
      <c r="N70">
        <v>19</v>
      </c>
      <c r="O70">
        <v>0.035798</v>
      </c>
      <c r="P70">
        <v>29</v>
      </c>
      <c r="Q70">
        <v>600</v>
      </c>
      <c r="S70">
        <f t="shared" si="2"/>
        <v>23.5916024769672</v>
      </c>
      <c r="T70">
        <f t="shared" si="3"/>
        <v>53.1439156021588</v>
      </c>
    </row>
    <row r="71" spans="1:20">
      <c r="A71" s="1" t="s">
        <v>120</v>
      </c>
      <c r="B71">
        <v>9885</v>
      </c>
      <c r="C71">
        <v>506437</v>
      </c>
      <c r="D71">
        <v>8294</v>
      </c>
      <c r="E71">
        <v>496637</v>
      </c>
      <c r="F71">
        <v>0.082462</v>
      </c>
      <c r="G71">
        <v>322615</v>
      </c>
      <c r="H71">
        <v>3.725</v>
      </c>
      <c r="I71">
        <v>322243</v>
      </c>
      <c r="J71">
        <v>0.422303</v>
      </c>
      <c r="K71">
        <v>288</v>
      </c>
      <c r="L71">
        <v>0</v>
      </c>
      <c r="M71">
        <v>-1</v>
      </c>
      <c r="N71">
        <v>16</v>
      </c>
      <c r="O71">
        <v>0.084871</v>
      </c>
      <c r="P71">
        <v>26</v>
      </c>
      <c r="Q71">
        <v>600</v>
      </c>
      <c r="S71">
        <f t="shared" si="2"/>
        <v>16.0950935761254</v>
      </c>
      <c r="T71">
        <f t="shared" si="3"/>
        <v>36.3705653417898</v>
      </c>
    </row>
    <row r="72" spans="1:20">
      <c r="A72" s="1" t="s">
        <v>121</v>
      </c>
      <c r="B72">
        <v>6402</v>
      </c>
      <c r="C72">
        <v>251230</v>
      </c>
      <c r="D72">
        <v>4795</v>
      </c>
      <c r="E72">
        <v>239929</v>
      </c>
      <c r="F72">
        <v>0.038351</v>
      </c>
      <c r="G72">
        <v>126031</v>
      </c>
      <c r="H72">
        <v>1.64207</v>
      </c>
      <c r="I72">
        <v>125644</v>
      </c>
      <c r="J72">
        <v>0.572973</v>
      </c>
      <c r="K72">
        <v>270</v>
      </c>
      <c r="L72">
        <v>0</v>
      </c>
      <c r="M72">
        <v>-1</v>
      </c>
      <c r="N72">
        <v>19</v>
      </c>
      <c r="O72">
        <v>0.037781</v>
      </c>
      <c r="P72">
        <v>27</v>
      </c>
      <c r="Q72">
        <v>600</v>
      </c>
      <c r="S72">
        <f t="shared" si="2"/>
        <v>25.1015307716339</v>
      </c>
      <c r="T72">
        <f t="shared" si="3"/>
        <v>49.9884567925805</v>
      </c>
    </row>
    <row r="73" spans="1:20">
      <c r="A73" s="1" t="s">
        <v>122</v>
      </c>
      <c r="B73">
        <v>63392</v>
      </c>
      <c r="C73">
        <v>816886</v>
      </c>
      <c r="D73">
        <v>25076</v>
      </c>
      <c r="E73">
        <v>645917</v>
      </c>
      <c r="F73" s="2">
        <v>0.125144</v>
      </c>
      <c r="G73">
        <v>249921</v>
      </c>
      <c r="H73" s="2">
        <v>2.31685</v>
      </c>
      <c r="I73">
        <v>249556</v>
      </c>
      <c r="J73">
        <v>0.312372</v>
      </c>
      <c r="K73">
        <v>317</v>
      </c>
      <c r="L73">
        <v>0</v>
      </c>
      <c r="M73">
        <v>-1</v>
      </c>
      <c r="N73">
        <v>13</v>
      </c>
      <c r="O73" s="2">
        <v>0.125259</v>
      </c>
      <c r="P73">
        <v>20</v>
      </c>
      <c r="Q73">
        <v>600</v>
      </c>
      <c r="S73">
        <f t="shared" si="2"/>
        <v>60.4429581019687</v>
      </c>
      <c r="T73">
        <f t="shared" si="3"/>
        <v>69.450327218241</v>
      </c>
    </row>
    <row r="74" spans="1:20">
      <c r="A74" s="1" t="s">
        <v>123</v>
      </c>
      <c r="B74">
        <v>11586</v>
      </c>
      <c r="C74">
        <v>568309</v>
      </c>
      <c r="D74">
        <v>8396</v>
      </c>
      <c r="E74">
        <v>545312</v>
      </c>
      <c r="F74">
        <v>0.09042</v>
      </c>
      <c r="G74">
        <v>316704</v>
      </c>
      <c r="H74">
        <v>4.47697</v>
      </c>
      <c r="I74">
        <v>316351</v>
      </c>
      <c r="J74">
        <v>0.580796</v>
      </c>
      <c r="K74">
        <v>332</v>
      </c>
      <c r="L74">
        <v>0</v>
      </c>
      <c r="M74">
        <v>-1</v>
      </c>
      <c r="N74">
        <v>19</v>
      </c>
      <c r="O74">
        <v>0.102559</v>
      </c>
      <c r="P74">
        <v>31</v>
      </c>
      <c r="Q74">
        <v>600</v>
      </c>
      <c r="S74">
        <f t="shared" si="2"/>
        <v>27.5332297600552</v>
      </c>
      <c r="T74">
        <f t="shared" si="3"/>
        <v>44.3346841243056</v>
      </c>
    </row>
    <row r="75" spans="1:20">
      <c r="A75" s="1" t="s">
        <v>124</v>
      </c>
      <c r="B75">
        <v>20453</v>
      </c>
      <c r="C75">
        <v>747604</v>
      </c>
      <c r="D75">
        <v>14557</v>
      </c>
      <c r="E75">
        <v>696736</v>
      </c>
      <c r="F75" s="2">
        <v>0.1172</v>
      </c>
      <c r="G75">
        <v>243279</v>
      </c>
      <c r="H75" s="2">
        <v>4.04081</v>
      </c>
      <c r="I75">
        <v>242921</v>
      </c>
      <c r="J75">
        <v>0.584683</v>
      </c>
      <c r="K75">
        <v>346</v>
      </c>
      <c r="L75">
        <v>0</v>
      </c>
      <c r="M75">
        <v>-1</v>
      </c>
      <c r="N75">
        <v>20</v>
      </c>
      <c r="O75" s="2">
        <v>0.114669</v>
      </c>
      <c r="P75">
        <v>30</v>
      </c>
      <c r="Q75">
        <v>600</v>
      </c>
      <c r="S75">
        <f t="shared" si="2"/>
        <v>28.8270669339461</v>
      </c>
      <c r="T75">
        <f t="shared" si="3"/>
        <v>67.506728160898</v>
      </c>
    </row>
    <row r="76" spans="1:20">
      <c r="A76" s="1" t="s">
        <v>125</v>
      </c>
      <c r="B76">
        <v>17206</v>
      </c>
      <c r="C76">
        <v>604867</v>
      </c>
      <c r="D76">
        <v>13968</v>
      </c>
      <c r="E76">
        <v>577744</v>
      </c>
      <c r="F76">
        <v>0.107703</v>
      </c>
      <c r="G76">
        <v>152776</v>
      </c>
      <c r="H76">
        <v>2.73764</v>
      </c>
      <c r="I76">
        <v>152418</v>
      </c>
      <c r="J76">
        <v>0.53048</v>
      </c>
      <c r="K76">
        <v>347</v>
      </c>
      <c r="L76">
        <v>0</v>
      </c>
      <c r="M76">
        <v>-1</v>
      </c>
      <c r="N76">
        <v>18</v>
      </c>
      <c r="O76">
        <v>0.087195</v>
      </c>
      <c r="P76">
        <v>28</v>
      </c>
      <c r="Q76">
        <v>600</v>
      </c>
      <c r="S76">
        <f t="shared" si="2"/>
        <v>18.8190166221086</v>
      </c>
      <c r="T76">
        <f t="shared" si="3"/>
        <v>74.8014026223947</v>
      </c>
    </row>
    <row r="77" spans="1:20">
      <c r="A77" s="1" t="s">
        <v>126</v>
      </c>
      <c r="B77">
        <v>14917</v>
      </c>
      <c r="C77">
        <v>482215</v>
      </c>
      <c r="D77">
        <v>10737</v>
      </c>
      <c r="E77">
        <v>442967</v>
      </c>
      <c r="F77">
        <v>0.073236</v>
      </c>
      <c r="G77">
        <v>117792</v>
      </c>
      <c r="H77">
        <v>2.18769</v>
      </c>
      <c r="I77">
        <v>117451</v>
      </c>
      <c r="J77">
        <v>0.892057</v>
      </c>
      <c r="K77">
        <v>362</v>
      </c>
      <c r="L77">
        <v>0</v>
      </c>
      <c r="M77">
        <v>-1</v>
      </c>
      <c r="N77">
        <v>21</v>
      </c>
      <c r="O77">
        <v>0.068925</v>
      </c>
      <c r="P77">
        <v>34</v>
      </c>
      <c r="Q77">
        <v>600</v>
      </c>
      <c r="S77">
        <f t="shared" si="2"/>
        <v>28.0217201850238</v>
      </c>
      <c r="T77">
        <f t="shared" si="3"/>
        <v>75.6434370560849</v>
      </c>
    </row>
    <row r="78" spans="1:20">
      <c r="A78" s="1" t="s">
        <v>127</v>
      </c>
      <c r="B78">
        <v>23831</v>
      </c>
      <c r="C78">
        <v>835946</v>
      </c>
      <c r="D78">
        <v>19683</v>
      </c>
      <c r="E78">
        <v>805574</v>
      </c>
      <c r="F78" s="2">
        <v>0.137909</v>
      </c>
      <c r="G78">
        <v>289575</v>
      </c>
      <c r="H78" s="2">
        <v>3.94054</v>
      </c>
      <c r="I78">
        <v>289204</v>
      </c>
      <c r="J78">
        <v>0.360431</v>
      </c>
      <c r="K78">
        <v>316</v>
      </c>
      <c r="L78">
        <v>0</v>
      </c>
      <c r="M78">
        <v>-1</v>
      </c>
      <c r="N78">
        <v>16</v>
      </c>
      <c r="O78" s="2">
        <v>0.125959</v>
      </c>
      <c r="P78">
        <v>25</v>
      </c>
      <c r="Q78">
        <v>600</v>
      </c>
      <c r="S78">
        <f t="shared" si="2"/>
        <v>17.4058998783098</v>
      </c>
      <c r="T78">
        <f t="shared" si="3"/>
        <v>65.4039854248959</v>
      </c>
    </row>
    <row r="79" spans="1:20">
      <c r="A79" s="1" t="s">
        <v>128</v>
      </c>
      <c r="B79">
        <v>196591</v>
      </c>
      <c r="C79">
        <v>950327</v>
      </c>
      <c r="D79">
        <v>32590</v>
      </c>
      <c r="E79">
        <v>510745</v>
      </c>
      <c r="F79" s="2">
        <v>0.111339</v>
      </c>
      <c r="G79">
        <v>204307</v>
      </c>
      <c r="H79" s="2">
        <v>1.42141</v>
      </c>
      <c r="I79">
        <v>203989</v>
      </c>
      <c r="J79">
        <v>0.220716</v>
      </c>
      <c r="K79">
        <v>369</v>
      </c>
      <c r="L79">
        <v>0</v>
      </c>
      <c r="M79">
        <v>-1</v>
      </c>
      <c r="N79">
        <v>9</v>
      </c>
      <c r="O79" s="2">
        <v>0.119385</v>
      </c>
      <c r="P79">
        <v>14</v>
      </c>
      <c r="Q79">
        <v>600</v>
      </c>
      <c r="S79">
        <f t="shared" si="2"/>
        <v>83.4224354115906</v>
      </c>
      <c r="T79">
        <f t="shared" si="3"/>
        <v>78.5348622105865</v>
      </c>
    </row>
    <row r="80" spans="1:20">
      <c r="A80" s="1" t="s">
        <v>129</v>
      </c>
      <c r="B80">
        <v>34</v>
      </c>
      <c r="C80">
        <v>78</v>
      </c>
      <c r="D80">
        <v>13</v>
      </c>
      <c r="E80">
        <v>33</v>
      </c>
      <c r="F80" s="2">
        <v>8e-6</v>
      </c>
      <c r="G80">
        <v>14</v>
      </c>
      <c r="H80" s="2">
        <v>1.9e-5</v>
      </c>
      <c r="I80">
        <v>14</v>
      </c>
      <c r="J80">
        <v>0.005132</v>
      </c>
      <c r="K80">
        <v>7</v>
      </c>
      <c r="L80">
        <v>0</v>
      </c>
      <c r="M80">
        <v>0.003624</v>
      </c>
      <c r="N80">
        <v>4</v>
      </c>
      <c r="O80" s="2">
        <v>9e-6</v>
      </c>
      <c r="P80">
        <v>4</v>
      </c>
      <c r="Q80">
        <v>0.014555</v>
      </c>
      <c r="S80">
        <f t="shared" si="2"/>
        <v>61.7647058823529</v>
      </c>
      <c r="T80">
        <f t="shared" si="3"/>
        <v>82.051282051282</v>
      </c>
    </row>
    <row r="81" spans="1:20">
      <c r="A81" s="1" t="s">
        <v>131</v>
      </c>
      <c r="B81">
        <v>70068</v>
      </c>
      <c r="C81">
        <v>358647</v>
      </c>
      <c r="D81">
        <v>20930</v>
      </c>
      <c r="E81">
        <v>277487</v>
      </c>
      <c r="F81">
        <v>0.051555</v>
      </c>
      <c r="G81">
        <v>53601</v>
      </c>
      <c r="H81">
        <v>0.568106</v>
      </c>
      <c r="I81">
        <v>53268</v>
      </c>
      <c r="J81">
        <v>0.221857</v>
      </c>
      <c r="K81">
        <v>496</v>
      </c>
      <c r="L81">
        <v>0</v>
      </c>
      <c r="M81">
        <v>-1</v>
      </c>
      <c r="N81">
        <v>5</v>
      </c>
      <c r="O81">
        <v>0.040856</v>
      </c>
      <c r="P81">
        <v>15</v>
      </c>
      <c r="Q81">
        <v>600</v>
      </c>
      <c r="S81">
        <f t="shared" si="2"/>
        <v>70.1290175258321</v>
      </c>
      <c r="T81">
        <f t="shared" si="3"/>
        <v>85.1475127353637</v>
      </c>
    </row>
    <row r="82" spans="1:20">
      <c r="A82" s="1" t="s">
        <v>132</v>
      </c>
      <c r="B82">
        <v>404719</v>
      </c>
      <c r="C82">
        <v>713319</v>
      </c>
      <c r="D82">
        <v>46489</v>
      </c>
      <c r="E82">
        <v>304864</v>
      </c>
      <c r="F82">
        <v>0.079961</v>
      </c>
      <c r="G82">
        <v>8866</v>
      </c>
      <c r="H82">
        <v>0.418049</v>
      </c>
      <c r="I82">
        <v>8484</v>
      </c>
      <c r="J82">
        <v>0.072435</v>
      </c>
      <c r="K82">
        <v>348</v>
      </c>
      <c r="L82">
        <v>64</v>
      </c>
      <c r="M82">
        <v>5.89756</v>
      </c>
      <c r="N82">
        <v>3</v>
      </c>
      <c r="O82">
        <v>0.06952</v>
      </c>
      <c r="P82">
        <v>3</v>
      </c>
      <c r="Q82">
        <v>6.93948</v>
      </c>
      <c r="S82">
        <f t="shared" si="2"/>
        <v>88.5132647590056</v>
      </c>
      <c r="T82">
        <f t="shared" si="3"/>
        <v>98.8106303070576</v>
      </c>
    </row>
    <row r="83" spans="1:20">
      <c r="A83" s="1" t="s">
        <v>133</v>
      </c>
      <c r="B83">
        <v>889</v>
      </c>
      <c r="C83">
        <v>2914</v>
      </c>
      <c r="D83">
        <v>326</v>
      </c>
      <c r="E83">
        <v>1765</v>
      </c>
      <c r="F83" s="2">
        <v>0.001038</v>
      </c>
      <c r="G83">
        <v>396</v>
      </c>
      <c r="H83">
        <v>0.004382</v>
      </c>
      <c r="I83">
        <v>101</v>
      </c>
      <c r="J83">
        <v>0.040278</v>
      </c>
      <c r="K83">
        <v>103</v>
      </c>
      <c r="L83">
        <v>0</v>
      </c>
      <c r="M83">
        <v>0.001554</v>
      </c>
      <c r="N83">
        <v>5</v>
      </c>
      <c r="O83" s="2">
        <v>0.000679</v>
      </c>
      <c r="P83">
        <v>6</v>
      </c>
      <c r="Q83">
        <v>0.068629</v>
      </c>
      <c r="S83">
        <f t="shared" si="2"/>
        <v>63.3295838020248</v>
      </c>
      <c r="T83">
        <f t="shared" si="3"/>
        <v>96.5339739190117</v>
      </c>
    </row>
    <row r="84" spans="1:20">
      <c r="A84" s="1" t="s">
        <v>134</v>
      </c>
      <c r="B84">
        <v>26475</v>
      </c>
      <c r="C84">
        <v>53381</v>
      </c>
      <c r="D84">
        <v>1360</v>
      </c>
      <c r="E84">
        <v>9794</v>
      </c>
      <c r="F84">
        <v>0.002381</v>
      </c>
      <c r="G84">
        <v>5553</v>
      </c>
      <c r="H84">
        <v>0.014632</v>
      </c>
      <c r="I84">
        <v>5428</v>
      </c>
      <c r="J84">
        <v>0.170266</v>
      </c>
      <c r="K84">
        <v>2824</v>
      </c>
      <c r="L84">
        <v>0</v>
      </c>
      <c r="M84">
        <v>-1</v>
      </c>
      <c r="N84">
        <v>5</v>
      </c>
      <c r="O84">
        <v>0.00273</v>
      </c>
      <c r="P84">
        <v>8</v>
      </c>
      <c r="Q84">
        <v>600</v>
      </c>
      <c r="S84">
        <f t="shared" si="2"/>
        <v>94.8630783758262</v>
      </c>
      <c r="T84">
        <f t="shared" si="3"/>
        <v>89.8315880182087</v>
      </c>
    </row>
    <row r="85" spans="1:20">
      <c r="A85" s="1" t="s">
        <v>135</v>
      </c>
      <c r="B85">
        <v>40164</v>
      </c>
      <c r="C85">
        <v>85123</v>
      </c>
      <c r="D85">
        <v>4721</v>
      </c>
      <c r="E85">
        <v>26671</v>
      </c>
      <c r="F85" s="2">
        <v>0.006194</v>
      </c>
      <c r="G85">
        <v>14594</v>
      </c>
      <c r="H85" s="2">
        <v>0.052768</v>
      </c>
      <c r="I85">
        <v>14473</v>
      </c>
      <c r="J85">
        <v>0.182123</v>
      </c>
      <c r="K85">
        <v>2065</v>
      </c>
      <c r="L85">
        <v>0</v>
      </c>
      <c r="M85">
        <v>-1</v>
      </c>
      <c r="N85">
        <v>4</v>
      </c>
      <c r="O85">
        <v>0.005467</v>
      </c>
      <c r="P85">
        <v>8</v>
      </c>
      <c r="Q85">
        <v>600</v>
      </c>
      <c r="S85">
        <f t="shared" si="2"/>
        <v>88.2456926600936</v>
      </c>
      <c r="T85">
        <f t="shared" si="3"/>
        <v>82.9975447293916</v>
      </c>
    </row>
    <row r="86" spans="1:20">
      <c r="A86" s="1" t="s">
        <v>136</v>
      </c>
      <c r="B86">
        <v>62561</v>
      </c>
      <c r="C86">
        <v>147878</v>
      </c>
      <c r="D86">
        <v>24443</v>
      </c>
      <c r="E86">
        <v>100454</v>
      </c>
      <c r="F86" s="2">
        <v>0.020127</v>
      </c>
      <c r="G86">
        <v>379</v>
      </c>
      <c r="H86">
        <v>0.034119</v>
      </c>
      <c r="I86">
        <v>90</v>
      </c>
      <c r="J86">
        <v>0.022956</v>
      </c>
      <c r="K86">
        <v>107</v>
      </c>
      <c r="L86">
        <v>0</v>
      </c>
      <c r="M86">
        <v>0.002994</v>
      </c>
      <c r="N86">
        <v>3</v>
      </c>
      <c r="O86" s="2">
        <v>0.012117</v>
      </c>
      <c r="P86">
        <v>3</v>
      </c>
      <c r="Q86">
        <v>0.147706</v>
      </c>
      <c r="S86">
        <f t="shared" si="2"/>
        <v>60.9293329710203</v>
      </c>
      <c r="T86">
        <f t="shared" si="3"/>
        <v>99.939139020003</v>
      </c>
    </row>
    <row r="87" spans="1:20">
      <c r="A87" s="1" t="s">
        <v>137</v>
      </c>
      <c r="B87">
        <v>190914</v>
      </c>
      <c r="C87">
        <v>607610</v>
      </c>
      <c r="D87">
        <v>47992</v>
      </c>
      <c r="E87">
        <v>336097</v>
      </c>
      <c r="F87" s="2">
        <v>0.074806</v>
      </c>
      <c r="G87">
        <v>69189</v>
      </c>
      <c r="H87" s="2">
        <v>0.332479</v>
      </c>
      <c r="I87">
        <v>68890</v>
      </c>
      <c r="J87">
        <v>0.12231</v>
      </c>
      <c r="K87">
        <v>454</v>
      </c>
      <c r="L87">
        <v>0</v>
      </c>
      <c r="M87">
        <v>-1</v>
      </c>
      <c r="N87">
        <v>5</v>
      </c>
      <c r="O87" s="2">
        <v>0.061021</v>
      </c>
      <c r="P87">
        <v>10</v>
      </c>
      <c r="Q87">
        <v>600</v>
      </c>
      <c r="S87">
        <f t="shared" si="2"/>
        <v>74.8619797395686</v>
      </c>
      <c r="T87">
        <f t="shared" si="3"/>
        <v>88.6621352512302</v>
      </c>
    </row>
    <row r="88" spans="1:20">
      <c r="A88" s="1" t="s">
        <v>138</v>
      </c>
      <c r="B88">
        <v>2113</v>
      </c>
      <c r="C88">
        <v>6632</v>
      </c>
      <c r="D88">
        <v>104</v>
      </c>
      <c r="E88">
        <v>1047</v>
      </c>
      <c r="F88">
        <v>0.000235</v>
      </c>
      <c r="G88">
        <v>465</v>
      </c>
      <c r="H88">
        <v>0.001187</v>
      </c>
      <c r="I88">
        <v>465</v>
      </c>
      <c r="J88">
        <v>0.102643</v>
      </c>
      <c r="K88">
        <v>488</v>
      </c>
      <c r="L88">
        <v>27</v>
      </c>
      <c r="M88">
        <v>0.027718</v>
      </c>
      <c r="N88">
        <v>13</v>
      </c>
      <c r="O88">
        <v>0.000477</v>
      </c>
      <c r="P88">
        <v>13</v>
      </c>
      <c r="Q88">
        <v>0.135671</v>
      </c>
      <c r="S88">
        <f t="shared" si="2"/>
        <v>95.0780880265026</v>
      </c>
      <c r="T88">
        <f t="shared" si="3"/>
        <v>92.9885404101327</v>
      </c>
    </row>
    <row r="89" spans="1:20">
      <c r="A89" s="1" t="s">
        <v>139</v>
      </c>
      <c r="B89">
        <v>7476</v>
      </c>
      <c r="C89">
        <v>56943</v>
      </c>
      <c r="D89">
        <v>837</v>
      </c>
      <c r="E89">
        <v>33766</v>
      </c>
      <c r="F89" s="2">
        <v>0.005232</v>
      </c>
      <c r="G89">
        <v>27877</v>
      </c>
      <c r="H89">
        <v>0.272</v>
      </c>
      <c r="I89">
        <v>27784</v>
      </c>
      <c r="J89">
        <v>2.72363</v>
      </c>
      <c r="K89">
        <v>4232</v>
      </c>
      <c r="L89">
        <v>0</v>
      </c>
      <c r="M89">
        <v>-1</v>
      </c>
      <c r="N89">
        <v>22</v>
      </c>
      <c r="O89" s="2">
        <v>0.005506</v>
      </c>
      <c r="P89">
        <v>42</v>
      </c>
      <c r="Q89">
        <v>600</v>
      </c>
      <c r="S89">
        <f t="shared" si="2"/>
        <v>88.8041733547352</v>
      </c>
      <c r="T89">
        <f t="shared" si="3"/>
        <v>51.2073476985758</v>
      </c>
    </row>
    <row r="90" spans="1:20">
      <c r="A90" s="1" t="s">
        <v>140</v>
      </c>
      <c r="B90">
        <v>3031</v>
      </c>
      <c r="C90">
        <v>6474</v>
      </c>
      <c r="D90">
        <v>30</v>
      </c>
      <c r="E90">
        <v>435</v>
      </c>
      <c r="F90" s="4" t="s">
        <v>154</v>
      </c>
      <c r="G90">
        <v>435</v>
      </c>
      <c r="H90">
        <v>0.000638</v>
      </c>
      <c r="I90">
        <v>435</v>
      </c>
      <c r="J90" s="4" t="s">
        <v>82</v>
      </c>
      <c r="K90">
        <v>5258</v>
      </c>
      <c r="L90">
        <v>0</v>
      </c>
      <c r="M90">
        <v>-1</v>
      </c>
      <c r="N90">
        <v>25</v>
      </c>
      <c r="O90">
        <v>0.00024</v>
      </c>
      <c r="P90">
        <v>26</v>
      </c>
      <c r="Q90">
        <v>600</v>
      </c>
      <c r="S90">
        <f t="shared" si="2"/>
        <v>99.010227647641</v>
      </c>
      <c r="T90">
        <f t="shared" si="3"/>
        <v>93.2808155699722</v>
      </c>
    </row>
    <row r="91" spans="1:20">
      <c r="A91" s="1" t="s">
        <v>141</v>
      </c>
      <c r="B91">
        <v>1299</v>
      </c>
      <c r="C91">
        <v>2773</v>
      </c>
      <c r="D91">
        <v>21</v>
      </c>
      <c r="E91">
        <v>174</v>
      </c>
      <c r="F91" s="2">
        <v>6.5e-5</v>
      </c>
      <c r="G91">
        <v>170</v>
      </c>
      <c r="H91" s="2">
        <v>0.000185</v>
      </c>
      <c r="I91">
        <v>170</v>
      </c>
      <c r="J91">
        <v>0.009503</v>
      </c>
      <c r="K91">
        <v>162</v>
      </c>
      <c r="L91">
        <v>0</v>
      </c>
      <c r="M91">
        <v>0.007221</v>
      </c>
      <c r="N91">
        <v>16</v>
      </c>
      <c r="O91" s="2">
        <v>0.000175</v>
      </c>
      <c r="P91">
        <v>16</v>
      </c>
      <c r="Q91">
        <v>0.018968</v>
      </c>
      <c r="S91">
        <f t="shared" si="2"/>
        <v>98.3833718244804</v>
      </c>
      <c r="T91">
        <f t="shared" si="3"/>
        <v>93.869455463397</v>
      </c>
    </row>
    <row r="92" spans="1:20">
      <c r="A92" s="1" t="s">
        <v>142</v>
      </c>
      <c r="B92">
        <v>11358</v>
      </c>
      <c r="C92">
        <v>47606</v>
      </c>
      <c r="D92">
        <v>168</v>
      </c>
      <c r="E92">
        <v>3490</v>
      </c>
      <c r="F92" s="2">
        <v>0.000709</v>
      </c>
      <c r="G92">
        <v>3488</v>
      </c>
      <c r="H92" s="2">
        <v>0.007861</v>
      </c>
      <c r="I92">
        <v>3488</v>
      </c>
      <c r="J92">
        <v>0.704561</v>
      </c>
      <c r="K92">
        <v>2212</v>
      </c>
      <c r="L92">
        <v>998</v>
      </c>
      <c r="M92">
        <v>31.3642</v>
      </c>
      <c r="N92">
        <v>36</v>
      </c>
      <c r="O92" s="2">
        <v>0.002011</v>
      </c>
      <c r="P92">
        <v>36</v>
      </c>
      <c r="Q92">
        <v>32.1786</v>
      </c>
      <c r="S92">
        <f t="shared" si="2"/>
        <v>98.5208663497095</v>
      </c>
      <c r="T92">
        <f t="shared" si="3"/>
        <v>92.6731924547326</v>
      </c>
    </row>
    <row r="93" spans="1:20">
      <c r="A93" s="1" t="s">
        <v>143</v>
      </c>
      <c r="B93">
        <v>643</v>
      </c>
      <c r="C93">
        <v>2280</v>
      </c>
      <c r="D93">
        <v>138</v>
      </c>
      <c r="E93">
        <v>1020</v>
      </c>
      <c r="F93">
        <v>0.000164</v>
      </c>
      <c r="G93">
        <v>360</v>
      </c>
      <c r="H93">
        <v>0.000968</v>
      </c>
      <c r="I93">
        <v>240</v>
      </c>
      <c r="J93">
        <v>0.046581</v>
      </c>
      <c r="K93">
        <v>253</v>
      </c>
      <c r="L93">
        <v>38</v>
      </c>
      <c r="M93">
        <v>0.005831</v>
      </c>
      <c r="N93">
        <v>7</v>
      </c>
      <c r="O93">
        <v>0.000137</v>
      </c>
      <c r="P93">
        <v>8</v>
      </c>
      <c r="Q93">
        <v>0.056136</v>
      </c>
      <c r="S93">
        <f t="shared" si="2"/>
        <v>78.5381026438569</v>
      </c>
      <c r="T93">
        <f t="shared" si="3"/>
        <v>89.4736842105263</v>
      </c>
    </row>
    <row r="94" spans="1:20">
      <c r="A94" s="1" t="s">
        <v>144</v>
      </c>
      <c r="B94">
        <v>121422</v>
      </c>
      <c r="C94">
        <v>334419</v>
      </c>
      <c r="D94">
        <v>377</v>
      </c>
      <c r="E94">
        <v>14358</v>
      </c>
      <c r="F94">
        <v>0.004883</v>
      </c>
      <c r="G94">
        <v>14358</v>
      </c>
      <c r="H94">
        <v>0.063167</v>
      </c>
      <c r="I94">
        <v>14358</v>
      </c>
      <c r="J94">
        <v>3.76788</v>
      </c>
      <c r="K94">
        <v>7347</v>
      </c>
      <c r="L94">
        <v>0</v>
      </c>
      <c r="M94">
        <v>-1</v>
      </c>
      <c r="N94">
        <v>41</v>
      </c>
      <c r="O94">
        <v>0.019929</v>
      </c>
      <c r="P94">
        <v>50</v>
      </c>
      <c r="Q94">
        <v>600</v>
      </c>
      <c r="S94">
        <f t="shared" si="2"/>
        <v>99.6895126089177</v>
      </c>
      <c r="T94">
        <f t="shared" si="3"/>
        <v>95.7065836570291</v>
      </c>
    </row>
    <row r="95" spans="1:20">
      <c r="A95" s="1" t="s">
        <v>145</v>
      </c>
      <c r="B95">
        <v>4767</v>
      </c>
      <c r="C95">
        <v>37375</v>
      </c>
      <c r="D95">
        <v>1665</v>
      </c>
      <c r="E95">
        <v>27505</v>
      </c>
      <c r="F95" s="2">
        <v>0.004201</v>
      </c>
      <c r="G95">
        <v>10506</v>
      </c>
      <c r="H95" s="2">
        <v>0.06789</v>
      </c>
      <c r="I95">
        <v>10183</v>
      </c>
      <c r="J95">
        <v>0.189049</v>
      </c>
      <c r="K95">
        <v>971</v>
      </c>
      <c r="L95">
        <v>438</v>
      </c>
      <c r="M95">
        <v>9.7846</v>
      </c>
      <c r="N95">
        <v>10</v>
      </c>
      <c r="O95" s="2">
        <v>0.003016</v>
      </c>
      <c r="P95">
        <v>13</v>
      </c>
      <c r="Q95">
        <v>10.1181</v>
      </c>
      <c r="S95">
        <f t="shared" si="2"/>
        <v>65.0723725613593</v>
      </c>
      <c r="T95">
        <f t="shared" si="3"/>
        <v>72.7545150501672</v>
      </c>
    </row>
    <row r="96" spans="1:20">
      <c r="A96" s="1" t="s">
        <v>146</v>
      </c>
      <c r="B96">
        <v>16062</v>
      </c>
      <c r="C96">
        <v>25593</v>
      </c>
      <c r="D96">
        <v>62</v>
      </c>
      <c r="E96">
        <v>934</v>
      </c>
      <c r="F96" s="2">
        <v>0.000395</v>
      </c>
      <c r="G96">
        <v>934</v>
      </c>
      <c r="H96">
        <v>0.001441</v>
      </c>
      <c r="I96">
        <v>934</v>
      </c>
      <c r="J96">
        <v>0.070112</v>
      </c>
      <c r="K96">
        <v>295</v>
      </c>
      <c r="L96">
        <v>51</v>
      </c>
      <c r="M96">
        <v>0.16486</v>
      </c>
      <c r="N96">
        <v>25</v>
      </c>
      <c r="O96" s="2">
        <v>0.0012</v>
      </c>
      <c r="P96">
        <v>25</v>
      </c>
      <c r="Q96">
        <v>0.250474</v>
      </c>
      <c r="S96">
        <f t="shared" si="2"/>
        <v>99.6139957664052</v>
      </c>
      <c r="T96">
        <f t="shared" si="3"/>
        <v>96.3505646075099</v>
      </c>
    </row>
    <row r="97" spans="17:17">
      <c r="Q97">
        <f>COUNT(Q2:Q96)-COUNTIF(Q2:Q96,"=600")</f>
        <v>62</v>
      </c>
    </row>
  </sheetData>
  <sortState ref="A2:Q96">
    <sortCondition ref="A2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7"/>
  <sheetViews>
    <sheetView topLeftCell="J1" workbookViewId="0">
      <selection activeCell="S1" sqref="S$1:T$1048576"/>
    </sheetView>
  </sheetViews>
  <sheetFormatPr defaultColWidth="9" defaultRowHeight="14"/>
  <cols>
    <col min="1" max="1" width="25.4545454545455" style="1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27272727272727" customWidth="1"/>
    <col min="19" max="20" width="12.8181818181818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17</v>
      </c>
      <c r="T1" t="s">
        <v>18</v>
      </c>
    </row>
    <row r="2" spans="1:20">
      <c r="A2" s="1" t="s">
        <v>19</v>
      </c>
      <c r="B2">
        <v>453</v>
      </c>
      <c r="C2">
        <v>2025</v>
      </c>
      <c r="D2">
        <v>181</v>
      </c>
      <c r="E2">
        <v>1122</v>
      </c>
      <c r="F2" s="2">
        <v>0.000169</v>
      </c>
      <c r="G2">
        <v>439</v>
      </c>
      <c r="H2">
        <v>0.001</v>
      </c>
      <c r="I2">
        <v>328</v>
      </c>
      <c r="J2">
        <v>0.049082</v>
      </c>
      <c r="K2">
        <v>490</v>
      </c>
      <c r="L2">
        <v>75</v>
      </c>
      <c r="M2">
        <v>0.00797</v>
      </c>
      <c r="N2">
        <v>6</v>
      </c>
      <c r="O2" s="2">
        <v>0.000121</v>
      </c>
      <c r="P2">
        <v>7</v>
      </c>
      <c r="Q2">
        <v>0.073753</v>
      </c>
      <c r="S2">
        <f t="shared" ref="S2:S65" si="0">(1-D2/B2)*100</f>
        <v>60.0441501103753</v>
      </c>
      <c r="T2">
        <f t="shared" ref="T2:T65" si="1">(1-I2/C2)*100</f>
        <v>83.8024691358025</v>
      </c>
    </row>
    <row r="3" spans="1:20">
      <c r="A3" s="1" t="s">
        <v>20</v>
      </c>
      <c r="B3">
        <v>516</v>
      </c>
      <c r="C3">
        <v>1188</v>
      </c>
      <c r="D3">
        <v>11</v>
      </c>
      <c r="E3">
        <v>55</v>
      </c>
      <c r="F3" s="2">
        <v>0.00013</v>
      </c>
      <c r="G3">
        <v>55</v>
      </c>
      <c r="H3" s="2">
        <v>0.000154</v>
      </c>
      <c r="I3">
        <v>55</v>
      </c>
      <c r="J3" s="4" t="s">
        <v>73</v>
      </c>
      <c r="K3">
        <v>2</v>
      </c>
      <c r="L3">
        <v>0</v>
      </c>
      <c r="M3">
        <v>0.003046</v>
      </c>
      <c r="N3">
        <v>10</v>
      </c>
      <c r="O3" s="2">
        <v>0.000321</v>
      </c>
      <c r="P3">
        <v>10</v>
      </c>
      <c r="Q3">
        <v>0.013638</v>
      </c>
      <c r="S3">
        <f t="shared" si="0"/>
        <v>97.8682170542636</v>
      </c>
      <c r="T3">
        <f t="shared" si="1"/>
        <v>95.3703703703704</v>
      </c>
    </row>
    <row r="4" spans="1:20">
      <c r="A4" s="1" t="s">
        <v>22</v>
      </c>
      <c r="B4">
        <v>7393</v>
      </c>
      <c r="C4">
        <v>25569</v>
      </c>
      <c r="D4">
        <v>3997</v>
      </c>
      <c r="E4">
        <v>20948</v>
      </c>
      <c r="F4">
        <v>0.003321</v>
      </c>
      <c r="G4">
        <v>1373</v>
      </c>
      <c r="H4">
        <v>0.010674</v>
      </c>
      <c r="I4">
        <v>1036</v>
      </c>
      <c r="J4">
        <v>0.079939</v>
      </c>
      <c r="K4">
        <v>545</v>
      </c>
      <c r="L4">
        <v>158</v>
      </c>
      <c r="M4">
        <v>0.087136</v>
      </c>
      <c r="N4">
        <v>3</v>
      </c>
      <c r="O4">
        <v>0.001774</v>
      </c>
      <c r="P4">
        <v>4</v>
      </c>
      <c r="Q4">
        <v>0.325288</v>
      </c>
      <c r="S4">
        <f t="shared" si="0"/>
        <v>45.9353442445557</v>
      </c>
      <c r="T4">
        <f t="shared" si="1"/>
        <v>95.9482185458954</v>
      </c>
    </row>
    <row r="5" spans="1:20">
      <c r="A5" s="1" t="s">
        <v>23</v>
      </c>
      <c r="B5">
        <v>1458</v>
      </c>
      <c r="C5">
        <v>1948</v>
      </c>
      <c r="D5">
        <v>6</v>
      </c>
      <c r="E5">
        <v>15</v>
      </c>
      <c r="F5">
        <v>0.000147</v>
      </c>
      <c r="G5">
        <v>15</v>
      </c>
      <c r="H5" s="4" t="s">
        <v>148</v>
      </c>
      <c r="I5">
        <v>15</v>
      </c>
      <c r="J5" s="4" t="s">
        <v>80</v>
      </c>
      <c r="K5">
        <v>2</v>
      </c>
      <c r="L5">
        <v>0</v>
      </c>
      <c r="M5">
        <v>0.002713</v>
      </c>
      <c r="N5">
        <v>5</v>
      </c>
      <c r="O5">
        <v>0.000489</v>
      </c>
      <c r="P5">
        <v>5</v>
      </c>
      <c r="Q5">
        <v>0.01521</v>
      </c>
      <c r="S5">
        <f t="shared" si="0"/>
        <v>99.5884773662551</v>
      </c>
      <c r="T5">
        <f t="shared" si="1"/>
        <v>99.2299794661191</v>
      </c>
    </row>
    <row r="6" spans="1:20">
      <c r="A6" s="1" t="s">
        <v>26</v>
      </c>
      <c r="B6">
        <v>17903</v>
      </c>
      <c r="C6">
        <v>196972</v>
      </c>
      <c r="D6">
        <v>2039</v>
      </c>
      <c r="E6">
        <v>59628</v>
      </c>
      <c r="F6" s="2">
        <v>0.012391</v>
      </c>
      <c r="G6">
        <v>39206</v>
      </c>
      <c r="H6" s="2">
        <v>0.238277</v>
      </c>
      <c r="I6">
        <v>39191</v>
      </c>
      <c r="J6">
        <v>1.22407</v>
      </c>
      <c r="K6">
        <v>1007</v>
      </c>
      <c r="L6">
        <v>0</v>
      </c>
      <c r="M6">
        <v>-1</v>
      </c>
      <c r="N6">
        <v>32</v>
      </c>
      <c r="O6" s="2">
        <v>0.022122</v>
      </c>
      <c r="P6">
        <v>41</v>
      </c>
      <c r="Q6">
        <v>600</v>
      </c>
      <c r="S6">
        <f t="shared" si="0"/>
        <v>88.6108473440206</v>
      </c>
      <c r="T6">
        <f t="shared" si="1"/>
        <v>80.1032634079971</v>
      </c>
    </row>
    <row r="7" spans="1:20">
      <c r="A7" s="1" t="s">
        <v>27</v>
      </c>
      <c r="B7">
        <v>227320</v>
      </c>
      <c r="C7">
        <v>814134</v>
      </c>
      <c r="D7">
        <v>3030</v>
      </c>
      <c r="E7">
        <v>71305</v>
      </c>
      <c r="F7">
        <v>0.021654</v>
      </c>
      <c r="G7">
        <v>68937</v>
      </c>
      <c r="H7">
        <v>0.211105</v>
      </c>
      <c r="I7">
        <v>68936</v>
      </c>
      <c r="J7">
        <v>1.37243</v>
      </c>
      <c r="K7">
        <v>894</v>
      </c>
      <c r="L7">
        <v>0</v>
      </c>
      <c r="M7">
        <v>-1</v>
      </c>
      <c r="N7">
        <v>29</v>
      </c>
      <c r="O7">
        <v>0.077513</v>
      </c>
      <c r="P7">
        <v>39</v>
      </c>
      <c r="Q7">
        <v>600</v>
      </c>
      <c r="S7">
        <f t="shared" si="0"/>
        <v>98.6670772479324</v>
      </c>
      <c r="T7">
        <f t="shared" si="1"/>
        <v>91.532597827876</v>
      </c>
    </row>
    <row r="8" spans="1:20">
      <c r="A8" s="1" t="s">
        <v>28</v>
      </c>
      <c r="B8">
        <v>21363</v>
      </c>
      <c r="C8">
        <v>91286</v>
      </c>
      <c r="D8">
        <v>1328</v>
      </c>
      <c r="E8">
        <v>13353</v>
      </c>
      <c r="F8" s="2">
        <v>0.003594</v>
      </c>
      <c r="G8">
        <v>7215</v>
      </c>
      <c r="H8" s="2">
        <v>0.018514</v>
      </c>
      <c r="I8">
        <v>7203</v>
      </c>
      <c r="J8">
        <v>0.188076</v>
      </c>
      <c r="K8">
        <v>3832</v>
      </c>
      <c r="L8">
        <v>1675</v>
      </c>
      <c r="M8">
        <v>43.0503</v>
      </c>
      <c r="N8">
        <v>12</v>
      </c>
      <c r="O8" s="2">
        <v>0.007396</v>
      </c>
      <c r="P8">
        <v>13</v>
      </c>
      <c r="Q8">
        <v>43.3453</v>
      </c>
      <c r="S8">
        <f t="shared" si="0"/>
        <v>93.7836446192014</v>
      </c>
      <c r="T8">
        <f t="shared" si="1"/>
        <v>92.1094143680301</v>
      </c>
    </row>
    <row r="9" spans="1:20">
      <c r="A9" s="1" t="s">
        <v>29</v>
      </c>
      <c r="B9">
        <v>1882</v>
      </c>
      <c r="C9">
        <v>1740</v>
      </c>
      <c r="D9">
        <v>23</v>
      </c>
      <c r="E9">
        <v>14</v>
      </c>
      <c r="F9" s="2">
        <v>5.4e-5</v>
      </c>
      <c r="G9">
        <v>0</v>
      </c>
      <c r="H9" s="2">
        <v>6e-6</v>
      </c>
      <c r="I9">
        <v>0</v>
      </c>
      <c r="J9" s="4" t="s">
        <v>25</v>
      </c>
      <c r="K9">
        <v>0</v>
      </c>
      <c r="L9">
        <v>0</v>
      </c>
      <c r="M9">
        <v>0.00225</v>
      </c>
      <c r="N9">
        <v>3</v>
      </c>
      <c r="O9" s="2">
        <v>0.000163</v>
      </c>
      <c r="P9">
        <v>3</v>
      </c>
      <c r="Q9">
        <v>0.003099</v>
      </c>
      <c r="S9">
        <f t="shared" si="0"/>
        <v>98.7778958554729</v>
      </c>
      <c r="T9">
        <f t="shared" si="1"/>
        <v>100</v>
      </c>
    </row>
    <row r="10" spans="1:20">
      <c r="A10" s="1" t="s">
        <v>32</v>
      </c>
      <c r="B10">
        <v>226413</v>
      </c>
      <c r="C10">
        <v>716460</v>
      </c>
      <c r="D10">
        <v>2300</v>
      </c>
      <c r="E10">
        <v>45126</v>
      </c>
      <c r="F10" s="2">
        <v>0.016769</v>
      </c>
      <c r="G10">
        <v>44549</v>
      </c>
      <c r="H10" s="2">
        <v>0.10951</v>
      </c>
      <c r="I10">
        <v>44549</v>
      </c>
      <c r="J10">
        <v>0.953959</v>
      </c>
      <c r="K10">
        <v>1030</v>
      </c>
      <c r="L10">
        <v>0</v>
      </c>
      <c r="M10">
        <v>-1</v>
      </c>
      <c r="N10">
        <v>24</v>
      </c>
      <c r="O10" s="2">
        <v>0.069297</v>
      </c>
      <c r="P10">
        <v>32</v>
      </c>
      <c r="Q10">
        <v>600</v>
      </c>
      <c r="S10">
        <f t="shared" si="0"/>
        <v>98.9841572701214</v>
      </c>
      <c r="T10">
        <f t="shared" si="1"/>
        <v>93.7820673868744</v>
      </c>
    </row>
    <row r="11" spans="1:20">
      <c r="A11" s="1" t="s">
        <v>33</v>
      </c>
      <c r="B11">
        <v>5094</v>
      </c>
      <c r="C11">
        <v>7515</v>
      </c>
      <c r="D11">
        <v>252</v>
      </c>
      <c r="E11">
        <v>1006</v>
      </c>
      <c r="F11" s="2">
        <v>0.000264</v>
      </c>
      <c r="G11">
        <v>131</v>
      </c>
      <c r="H11" s="2">
        <v>0.000505</v>
      </c>
      <c r="I11">
        <v>97</v>
      </c>
      <c r="J11">
        <v>0.028393</v>
      </c>
      <c r="K11">
        <v>103</v>
      </c>
      <c r="L11">
        <v>0</v>
      </c>
      <c r="M11">
        <v>0.004013</v>
      </c>
      <c r="N11">
        <v>5</v>
      </c>
      <c r="O11">
        <v>0.000376</v>
      </c>
      <c r="P11">
        <v>5</v>
      </c>
      <c r="Q11">
        <v>0.036881</v>
      </c>
      <c r="S11">
        <f t="shared" si="0"/>
        <v>95.0530035335689</v>
      </c>
      <c r="T11">
        <f t="shared" si="1"/>
        <v>98.709248170326</v>
      </c>
    </row>
    <row r="12" spans="1:20">
      <c r="A12" s="1" t="s">
        <v>34</v>
      </c>
      <c r="B12">
        <v>4158</v>
      </c>
      <c r="C12">
        <v>13422</v>
      </c>
      <c r="D12">
        <v>115</v>
      </c>
      <c r="E12">
        <v>2186</v>
      </c>
      <c r="F12">
        <v>0.000382</v>
      </c>
      <c r="G12">
        <v>2186</v>
      </c>
      <c r="H12">
        <v>0.004677</v>
      </c>
      <c r="I12">
        <v>2186</v>
      </c>
      <c r="J12">
        <v>0.354256</v>
      </c>
      <c r="K12">
        <v>808</v>
      </c>
      <c r="L12">
        <v>73</v>
      </c>
      <c r="M12">
        <v>0.723744</v>
      </c>
      <c r="N12">
        <v>33</v>
      </c>
      <c r="O12">
        <v>0.000957</v>
      </c>
      <c r="P12">
        <v>33</v>
      </c>
      <c r="Q12">
        <v>1.12155</v>
      </c>
      <c r="S12">
        <f t="shared" si="0"/>
        <v>97.2342472342472</v>
      </c>
      <c r="T12">
        <f t="shared" si="1"/>
        <v>83.7133065116972</v>
      </c>
    </row>
    <row r="13" spans="1:20">
      <c r="A13" s="1" t="s">
        <v>35</v>
      </c>
      <c r="B13">
        <v>11204</v>
      </c>
      <c r="C13">
        <v>117619</v>
      </c>
      <c r="D13">
        <v>239</v>
      </c>
      <c r="E13">
        <v>28441</v>
      </c>
      <c r="F13" s="2">
        <v>0.004587</v>
      </c>
      <c r="G13">
        <v>28441</v>
      </c>
      <c r="H13" s="2">
        <v>0.462494</v>
      </c>
      <c r="I13">
        <v>28441</v>
      </c>
      <c r="J13">
        <v>0.000517</v>
      </c>
      <c r="K13">
        <v>586</v>
      </c>
      <c r="L13">
        <v>0</v>
      </c>
      <c r="M13">
        <v>-1</v>
      </c>
      <c r="N13">
        <v>121</v>
      </c>
      <c r="O13" s="2">
        <v>0.021784</v>
      </c>
      <c r="P13">
        <v>158</v>
      </c>
      <c r="Q13">
        <v>600</v>
      </c>
      <c r="S13">
        <f t="shared" si="0"/>
        <v>97.8668332738308</v>
      </c>
      <c r="T13">
        <f t="shared" si="1"/>
        <v>75.8193829228271</v>
      </c>
    </row>
    <row r="14" spans="1:20">
      <c r="A14" s="1" t="s">
        <v>36</v>
      </c>
      <c r="B14">
        <v>332689</v>
      </c>
      <c r="C14">
        <v>820644</v>
      </c>
      <c r="D14">
        <v>15806</v>
      </c>
      <c r="E14">
        <v>110272</v>
      </c>
      <c r="F14" s="2">
        <v>0.051502</v>
      </c>
      <c r="G14">
        <v>22255</v>
      </c>
      <c r="H14" s="2">
        <v>0.092555</v>
      </c>
      <c r="I14">
        <v>22185</v>
      </c>
      <c r="J14">
        <v>0.193265</v>
      </c>
      <c r="K14">
        <v>4026</v>
      </c>
      <c r="L14">
        <v>0</v>
      </c>
      <c r="M14">
        <v>-1</v>
      </c>
      <c r="N14">
        <v>8</v>
      </c>
      <c r="O14" s="2">
        <v>0.138897</v>
      </c>
      <c r="P14">
        <v>11</v>
      </c>
      <c r="Q14">
        <v>600</v>
      </c>
      <c r="S14">
        <f t="shared" si="0"/>
        <v>95.2490163486018</v>
      </c>
      <c r="T14">
        <f t="shared" si="1"/>
        <v>97.2966353254273</v>
      </c>
    </row>
    <row r="15" spans="1:20">
      <c r="A15" s="1" t="s">
        <v>37</v>
      </c>
      <c r="B15">
        <v>379</v>
      </c>
      <c r="C15">
        <v>914</v>
      </c>
      <c r="D15">
        <v>9</v>
      </c>
      <c r="E15">
        <v>36</v>
      </c>
      <c r="F15" s="2">
        <v>2.2e-5</v>
      </c>
      <c r="G15">
        <v>36</v>
      </c>
      <c r="H15" s="4" t="s">
        <v>155</v>
      </c>
      <c r="I15">
        <v>36</v>
      </c>
      <c r="J15" s="4" t="s">
        <v>25</v>
      </c>
      <c r="K15">
        <v>1</v>
      </c>
      <c r="L15">
        <v>0</v>
      </c>
      <c r="M15">
        <v>0.002249</v>
      </c>
      <c r="N15">
        <v>8</v>
      </c>
      <c r="O15" s="2">
        <v>6.2e-5</v>
      </c>
      <c r="P15">
        <v>8</v>
      </c>
      <c r="Q15">
        <v>0.013529</v>
      </c>
      <c r="S15">
        <f t="shared" si="0"/>
        <v>97.6253298153034</v>
      </c>
      <c r="T15">
        <f t="shared" si="1"/>
        <v>96.0612691466083</v>
      </c>
    </row>
    <row r="16" spans="1:20">
      <c r="A16" s="1" t="s">
        <v>38</v>
      </c>
      <c r="B16">
        <v>32430</v>
      </c>
      <c r="C16">
        <v>54397</v>
      </c>
      <c r="D16">
        <v>1542</v>
      </c>
      <c r="E16">
        <v>15930</v>
      </c>
      <c r="F16">
        <v>0.002934</v>
      </c>
      <c r="G16">
        <v>9773</v>
      </c>
      <c r="H16">
        <v>0.025338</v>
      </c>
      <c r="I16">
        <v>9609</v>
      </c>
      <c r="J16">
        <v>0.142722</v>
      </c>
      <c r="K16">
        <v>3231</v>
      </c>
      <c r="L16">
        <v>2514</v>
      </c>
      <c r="M16">
        <v>497.87</v>
      </c>
      <c r="N16">
        <v>5</v>
      </c>
      <c r="O16">
        <v>0.002624</v>
      </c>
      <c r="P16">
        <v>7</v>
      </c>
      <c r="Q16">
        <v>498.124</v>
      </c>
      <c r="S16">
        <f t="shared" si="0"/>
        <v>95.2451433857539</v>
      </c>
      <c r="T16">
        <f t="shared" si="1"/>
        <v>82.3354229093516</v>
      </c>
    </row>
    <row r="17" spans="1:20">
      <c r="A17" s="1" t="s">
        <v>39</v>
      </c>
      <c r="B17">
        <v>1133</v>
      </c>
      <c r="C17">
        <v>5451</v>
      </c>
      <c r="D17">
        <v>588</v>
      </c>
      <c r="E17">
        <v>4048</v>
      </c>
      <c r="F17">
        <v>0.000543</v>
      </c>
      <c r="G17">
        <v>776</v>
      </c>
      <c r="H17">
        <v>0.002703</v>
      </c>
      <c r="I17">
        <v>450</v>
      </c>
      <c r="J17">
        <v>0.087622</v>
      </c>
      <c r="K17">
        <v>279</v>
      </c>
      <c r="L17">
        <v>0</v>
      </c>
      <c r="M17">
        <v>0.004749</v>
      </c>
      <c r="N17">
        <v>6</v>
      </c>
      <c r="O17">
        <v>0.00033</v>
      </c>
      <c r="P17">
        <v>8</v>
      </c>
      <c r="Q17">
        <v>0.104152</v>
      </c>
      <c r="S17">
        <f t="shared" si="0"/>
        <v>48.1023830538394</v>
      </c>
      <c r="T17">
        <f t="shared" si="1"/>
        <v>91.7446340121079</v>
      </c>
    </row>
    <row r="18" spans="1:20">
      <c r="A18" s="1" t="s">
        <v>40</v>
      </c>
      <c r="B18">
        <v>33696</v>
      </c>
      <c r="C18">
        <v>180811</v>
      </c>
      <c r="D18">
        <v>6236</v>
      </c>
      <c r="E18">
        <v>111166</v>
      </c>
      <c r="F18">
        <v>0.018362</v>
      </c>
      <c r="G18">
        <v>79305</v>
      </c>
      <c r="H18">
        <v>0.351476</v>
      </c>
      <c r="I18">
        <v>79092</v>
      </c>
      <c r="J18">
        <v>0.215527</v>
      </c>
      <c r="K18">
        <v>498</v>
      </c>
      <c r="L18">
        <v>0</v>
      </c>
      <c r="M18">
        <v>-1</v>
      </c>
      <c r="N18">
        <v>8</v>
      </c>
      <c r="O18">
        <v>0.014092</v>
      </c>
      <c r="P18">
        <v>14</v>
      </c>
      <c r="Q18">
        <v>600</v>
      </c>
      <c r="S18">
        <f t="shared" si="0"/>
        <v>81.4933523266857</v>
      </c>
      <c r="T18">
        <f t="shared" si="1"/>
        <v>56.2570861286094</v>
      </c>
    </row>
    <row r="19" spans="1:20">
      <c r="A19" s="1" t="s">
        <v>41</v>
      </c>
      <c r="B19">
        <v>143</v>
      </c>
      <c r="C19">
        <v>623</v>
      </c>
      <c r="D19">
        <v>80</v>
      </c>
      <c r="E19">
        <v>442</v>
      </c>
      <c r="F19" s="2">
        <v>6e-5</v>
      </c>
      <c r="G19">
        <v>139</v>
      </c>
      <c r="H19">
        <v>0.000312</v>
      </c>
      <c r="I19">
        <v>105</v>
      </c>
      <c r="J19">
        <v>0.020142</v>
      </c>
      <c r="K19">
        <v>144</v>
      </c>
      <c r="L19">
        <v>1</v>
      </c>
      <c r="M19">
        <v>0.004958</v>
      </c>
      <c r="N19">
        <v>6</v>
      </c>
      <c r="O19" s="2">
        <v>4.2e-5</v>
      </c>
      <c r="P19">
        <v>7</v>
      </c>
      <c r="Q19">
        <v>0.032751</v>
      </c>
      <c r="S19">
        <f t="shared" si="0"/>
        <v>44.0559440559441</v>
      </c>
      <c r="T19">
        <f t="shared" si="1"/>
        <v>83.1460674157303</v>
      </c>
    </row>
    <row r="20" spans="1:20">
      <c r="A20" s="1" t="s">
        <v>42</v>
      </c>
      <c r="B20">
        <v>1266</v>
      </c>
      <c r="C20">
        <v>6451</v>
      </c>
      <c r="D20">
        <v>761</v>
      </c>
      <c r="E20">
        <v>5580</v>
      </c>
      <c r="F20">
        <v>0.000786</v>
      </c>
      <c r="G20">
        <v>689</v>
      </c>
      <c r="H20">
        <v>0.003745</v>
      </c>
      <c r="I20">
        <v>141</v>
      </c>
      <c r="J20">
        <v>0.02668</v>
      </c>
      <c r="K20">
        <v>56</v>
      </c>
      <c r="L20">
        <v>0</v>
      </c>
      <c r="M20">
        <v>0.004731</v>
      </c>
      <c r="N20">
        <v>4</v>
      </c>
      <c r="O20">
        <v>0.000421</v>
      </c>
      <c r="P20">
        <v>4</v>
      </c>
      <c r="Q20">
        <v>0.041606</v>
      </c>
      <c r="S20">
        <f t="shared" si="0"/>
        <v>39.8894154818325</v>
      </c>
      <c r="T20">
        <f t="shared" si="1"/>
        <v>97.814292357774</v>
      </c>
    </row>
    <row r="21" spans="1:20">
      <c r="A21" s="1" t="s">
        <v>43</v>
      </c>
      <c r="B21">
        <v>410</v>
      </c>
      <c r="C21">
        <v>2765</v>
      </c>
      <c r="D21">
        <v>122</v>
      </c>
      <c r="E21">
        <v>1134</v>
      </c>
      <c r="F21" s="2">
        <v>0.000167</v>
      </c>
      <c r="G21">
        <v>210</v>
      </c>
      <c r="H21" s="2">
        <v>0.001399</v>
      </c>
      <c r="I21">
        <v>162</v>
      </c>
      <c r="J21">
        <v>0.05121</v>
      </c>
      <c r="K21">
        <v>166</v>
      </c>
      <c r="L21">
        <v>1</v>
      </c>
      <c r="M21">
        <v>0.010537</v>
      </c>
      <c r="N21">
        <v>13</v>
      </c>
      <c r="O21" s="2">
        <v>0.000198</v>
      </c>
      <c r="P21">
        <v>13</v>
      </c>
      <c r="Q21">
        <v>0.081395</v>
      </c>
      <c r="S21">
        <f t="shared" si="0"/>
        <v>70.2439024390244</v>
      </c>
      <c r="T21">
        <f t="shared" si="1"/>
        <v>94.1410488245931</v>
      </c>
    </row>
    <row r="22" spans="1:20">
      <c r="A22" s="1" t="s">
        <v>44</v>
      </c>
      <c r="B22">
        <v>113</v>
      </c>
      <c r="C22">
        <v>2196</v>
      </c>
      <c r="D22">
        <v>112</v>
      </c>
      <c r="E22">
        <v>2195</v>
      </c>
      <c r="F22">
        <v>0.000248</v>
      </c>
      <c r="G22">
        <v>1842</v>
      </c>
      <c r="H22">
        <v>0.005598</v>
      </c>
      <c r="I22">
        <v>1695</v>
      </c>
      <c r="J22">
        <v>0.146311</v>
      </c>
      <c r="K22">
        <v>724</v>
      </c>
      <c r="L22">
        <v>236</v>
      </c>
      <c r="M22">
        <v>0.032846</v>
      </c>
      <c r="N22">
        <v>11</v>
      </c>
      <c r="O22">
        <v>0.000173</v>
      </c>
      <c r="P22">
        <v>13</v>
      </c>
      <c r="Q22">
        <v>0.192185</v>
      </c>
      <c r="S22">
        <f t="shared" si="0"/>
        <v>0.884955752212391</v>
      </c>
      <c r="T22">
        <f t="shared" si="1"/>
        <v>22.8142076502732</v>
      </c>
    </row>
    <row r="23" spans="1:20">
      <c r="A23" s="1" t="s">
        <v>45</v>
      </c>
      <c r="B23">
        <v>6809</v>
      </c>
      <c r="C23">
        <v>7680</v>
      </c>
      <c r="D23">
        <v>228</v>
      </c>
      <c r="E23">
        <v>805</v>
      </c>
      <c r="F23">
        <v>0.000198</v>
      </c>
      <c r="G23">
        <v>196</v>
      </c>
      <c r="H23">
        <v>0.00029</v>
      </c>
      <c r="I23">
        <v>163</v>
      </c>
      <c r="J23">
        <v>0.043725</v>
      </c>
      <c r="K23">
        <v>168</v>
      </c>
      <c r="L23">
        <v>0</v>
      </c>
      <c r="M23">
        <v>0.002223</v>
      </c>
      <c r="N23">
        <v>3</v>
      </c>
      <c r="O23">
        <v>0.000291</v>
      </c>
      <c r="P23">
        <v>4</v>
      </c>
      <c r="Q23">
        <v>0.054739</v>
      </c>
      <c r="S23">
        <f t="shared" si="0"/>
        <v>96.6514906741078</v>
      </c>
      <c r="T23">
        <f t="shared" si="1"/>
        <v>97.8776041666667</v>
      </c>
    </row>
    <row r="24" spans="1:20">
      <c r="A24" s="1" t="s">
        <v>46</v>
      </c>
      <c r="B24">
        <v>92117</v>
      </c>
      <c r="C24">
        <v>360767</v>
      </c>
      <c r="D24">
        <v>19832</v>
      </c>
      <c r="E24">
        <v>264678</v>
      </c>
      <c r="F24" s="2">
        <v>0.048964</v>
      </c>
      <c r="G24">
        <v>139137</v>
      </c>
      <c r="H24" s="2">
        <v>0.843757</v>
      </c>
      <c r="I24">
        <v>138987</v>
      </c>
      <c r="J24">
        <v>0.181359</v>
      </c>
      <c r="K24">
        <v>521</v>
      </c>
      <c r="L24">
        <v>0</v>
      </c>
      <c r="M24">
        <v>-1</v>
      </c>
      <c r="N24">
        <v>4</v>
      </c>
      <c r="O24" s="2">
        <v>0.038785</v>
      </c>
      <c r="P24">
        <v>11</v>
      </c>
      <c r="Q24">
        <v>600</v>
      </c>
      <c r="S24">
        <f t="shared" si="0"/>
        <v>78.4708577135599</v>
      </c>
      <c r="T24">
        <f t="shared" si="1"/>
        <v>61.4745805464469</v>
      </c>
    </row>
    <row r="25" spans="1:20">
      <c r="A25" s="1" t="s">
        <v>47</v>
      </c>
      <c r="B25">
        <v>4941</v>
      </c>
      <c r="C25">
        <v>6594</v>
      </c>
      <c r="D25">
        <v>107</v>
      </c>
      <c r="E25">
        <v>199</v>
      </c>
      <c r="F25" s="2">
        <v>0.000261</v>
      </c>
      <c r="G25">
        <v>63</v>
      </c>
      <c r="H25" s="2">
        <v>0.000107</v>
      </c>
      <c r="I25">
        <v>60</v>
      </c>
      <c r="J25">
        <v>0.019246</v>
      </c>
      <c r="K25">
        <v>51</v>
      </c>
      <c r="L25">
        <v>0</v>
      </c>
      <c r="M25">
        <v>0.004251</v>
      </c>
      <c r="N25">
        <v>4</v>
      </c>
      <c r="O25" s="2">
        <v>0.000741</v>
      </c>
      <c r="P25">
        <v>4</v>
      </c>
      <c r="Q25">
        <v>0.028391</v>
      </c>
      <c r="S25">
        <f t="shared" si="0"/>
        <v>97.8344464683262</v>
      </c>
      <c r="T25">
        <f t="shared" si="1"/>
        <v>99.0900818926297</v>
      </c>
    </row>
    <row r="26" spans="1:20">
      <c r="A26" s="1" t="s">
        <v>49</v>
      </c>
      <c r="B26">
        <v>91813</v>
      </c>
      <c r="C26">
        <v>125704</v>
      </c>
      <c r="D26">
        <v>114</v>
      </c>
      <c r="E26">
        <v>136</v>
      </c>
      <c r="F26">
        <v>0.003673</v>
      </c>
      <c r="G26">
        <v>0</v>
      </c>
      <c r="H26" s="4" t="s">
        <v>148</v>
      </c>
      <c r="I26">
        <v>0</v>
      </c>
      <c r="J26" s="4" t="s">
        <v>25</v>
      </c>
      <c r="K26">
        <v>0</v>
      </c>
      <c r="L26">
        <v>0</v>
      </c>
      <c r="M26">
        <v>0.00142</v>
      </c>
      <c r="N26">
        <v>5</v>
      </c>
      <c r="O26">
        <v>0.012292</v>
      </c>
      <c r="P26">
        <v>5</v>
      </c>
      <c r="Q26">
        <v>0.049972</v>
      </c>
      <c r="S26">
        <f t="shared" si="0"/>
        <v>99.8758345768028</v>
      </c>
      <c r="T26">
        <f t="shared" si="1"/>
        <v>100</v>
      </c>
    </row>
    <row r="27" spans="1:20">
      <c r="A27" s="1" t="s">
        <v>50</v>
      </c>
      <c r="B27">
        <v>96</v>
      </c>
      <c r="C27">
        <v>117</v>
      </c>
      <c r="D27">
        <v>16</v>
      </c>
      <c r="E27">
        <v>26</v>
      </c>
      <c r="F27" s="2">
        <v>9e-6</v>
      </c>
      <c r="G27">
        <v>6</v>
      </c>
      <c r="H27" s="4" t="s">
        <v>31</v>
      </c>
      <c r="I27">
        <v>6</v>
      </c>
      <c r="J27">
        <v>0.003746</v>
      </c>
      <c r="K27">
        <v>7</v>
      </c>
      <c r="L27">
        <v>0</v>
      </c>
      <c r="M27">
        <v>0.002748</v>
      </c>
      <c r="N27">
        <v>3</v>
      </c>
      <c r="O27" s="2">
        <v>1.2e-5</v>
      </c>
      <c r="P27">
        <v>3</v>
      </c>
      <c r="Q27">
        <v>0.020116</v>
      </c>
      <c r="S27">
        <f t="shared" si="0"/>
        <v>83.3333333333333</v>
      </c>
      <c r="T27">
        <f t="shared" si="1"/>
        <v>94.8717948717949</v>
      </c>
    </row>
    <row r="28" spans="1:20">
      <c r="A28" s="1" t="s">
        <v>52</v>
      </c>
      <c r="B28">
        <v>761</v>
      </c>
      <c r="C28">
        <v>1029</v>
      </c>
      <c r="D28">
        <v>51</v>
      </c>
      <c r="E28">
        <v>139</v>
      </c>
      <c r="F28" s="2">
        <v>4.7e-5</v>
      </c>
      <c r="G28">
        <v>13</v>
      </c>
      <c r="H28" s="2">
        <v>6.1e-5</v>
      </c>
      <c r="I28">
        <v>0</v>
      </c>
      <c r="J28" s="4" t="s">
        <v>82</v>
      </c>
      <c r="K28">
        <v>0</v>
      </c>
      <c r="L28">
        <v>0</v>
      </c>
      <c r="M28">
        <v>0.002231</v>
      </c>
      <c r="N28">
        <v>4</v>
      </c>
      <c r="O28" s="2">
        <v>7.4e-5</v>
      </c>
      <c r="P28">
        <v>4</v>
      </c>
      <c r="Q28">
        <v>0.00327</v>
      </c>
      <c r="S28">
        <f t="shared" si="0"/>
        <v>93.2982917214192</v>
      </c>
      <c r="T28">
        <f t="shared" si="1"/>
        <v>100</v>
      </c>
    </row>
    <row r="29" spans="1:20">
      <c r="A29" s="1" t="s">
        <v>54</v>
      </c>
      <c r="B29">
        <v>146</v>
      </c>
      <c r="C29">
        <v>9828</v>
      </c>
      <c r="D29">
        <v>134</v>
      </c>
      <c r="E29">
        <v>8770</v>
      </c>
      <c r="F29">
        <v>0.000906</v>
      </c>
      <c r="G29">
        <v>8770</v>
      </c>
      <c r="H29">
        <v>0.065387</v>
      </c>
      <c r="I29">
        <v>8770</v>
      </c>
      <c r="J29">
        <v>1.49409</v>
      </c>
      <c r="K29">
        <v>2615</v>
      </c>
      <c r="L29">
        <v>116</v>
      </c>
      <c r="M29">
        <v>8.32909</v>
      </c>
      <c r="N29">
        <v>110</v>
      </c>
      <c r="O29">
        <v>0.001956</v>
      </c>
      <c r="P29">
        <v>110</v>
      </c>
      <c r="Q29">
        <v>10.5617</v>
      </c>
      <c r="S29">
        <f t="shared" si="0"/>
        <v>8.21917808219178</v>
      </c>
      <c r="T29">
        <f t="shared" si="1"/>
        <v>10.7651607651608</v>
      </c>
    </row>
    <row r="30" spans="1:20">
      <c r="A30" s="1" t="s">
        <v>55</v>
      </c>
      <c r="B30">
        <v>488</v>
      </c>
      <c r="C30">
        <v>71011</v>
      </c>
      <c r="D30">
        <v>386</v>
      </c>
      <c r="E30">
        <v>65503</v>
      </c>
      <c r="F30">
        <v>0.007584</v>
      </c>
      <c r="G30">
        <v>-1</v>
      </c>
      <c r="H30">
        <v>2.04607</v>
      </c>
      <c r="I30">
        <v>-1</v>
      </c>
      <c r="J30">
        <v>-1</v>
      </c>
      <c r="K30">
        <v>0</v>
      </c>
      <c r="L30">
        <v>0</v>
      </c>
      <c r="M30">
        <v>-1</v>
      </c>
      <c r="N30">
        <v>193</v>
      </c>
      <c r="O30">
        <v>0.044407</v>
      </c>
      <c r="P30">
        <v>193</v>
      </c>
      <c r="Q30">
        <v>600</v>
      </c>
      <c r="S30">
        <f t="shared" si="0"/>
        <v>20.9016393442623</v>
      </c>
      <c r="T30">
        <f t="shared" si="1"/>
        <v>100.001408232527</v>
      </c>
    </row>
    <row r="31" spans="1:20">
      <c r="A31" s="1" t="s">
        <v>56</v>
      </c>
      <c r="B31">
        <v>1303</v>
      </c>
      <c r="C31">
        <v>531893</v>
      </c>
      <c r="D31">
        <v>1200</v>
      </c>
      <c r="E31">
        <v>523785</v>
      </c>
      <c r="F31" s="2">
        <v>0.069358</v>
      </c>
      <c r="G31">
        <v>523785</v>
      </c>
      <c r="H31">
        <v>62.1766</v>
      </c>
      <c r="I31">
        <v>523785</v>
      </c>
      <c r="J31" s="2">
        <v>211.381</v>
      </c>
      <c r="K31">
        <v>973</v>
      </c>
      <c r="L31">
        <v>0</v>
      </c>
      <c r="M31">
        <v>-1</v>
      </c>
      <c r="N31">
        <v>280</v>
      </c>
      <c r="O31" s="2">
        <v>0.948675</v>
      </c>
      <c r="P31">
        <v>280</v>
      </c>
      <c r="Q31">
        <v>600</v>
      </c>
      <c r="S31">
        <f t="shared" si="0"/>
        <v>7.9048349961627</v>
      </c>
      <c r="T31">
        <f t="shared" si="1"/>
        <v>1.52436674293513</v>
      </c>
    </row>
    <row r="32" spans="1:20">
      <c r="A32" s="1" t="s">
        <v>57</v>
      </c>
      <c r="B32">
        <v>10972</v>
      </c>
      <c r="C32">
        <v>175573</v>
      </c>
      <c r="D32">
        <v>1351</v>
      </c>
      <c r="E32">
        <v>47683</v>
      </c>
      <c r="F32" s="2">
        <v>0.007663</v>
      </c>
      <c r="G32">
        <v>45314</v>
      </c>
      <c r="H32" s="2">
        <v>0.241245</v>
      </c>
      <c r="I32">
        <v>45314</v>
      </c>
      <c r="J32">
        <v>3.89296</v>
      </c>
      <c r="K32">
        <v>937</v>
      </c>
      <c r="L32">
        <v>0</v>
      </c>
      <c r="M32">
        <v>-1</v>
      </c>
      <c r="N32">
        <v>45</v>
      </c>
      <c r="O32" s="2">
        <v>0.023069</v>
      </c>
      <c r="P32">
        <v>54</v>
      </c>
      <c r="Q32">
        <v>600</v>
      </c>
      <c r="S32">
        <f t="shared" si="0"/>
        <v>87.6868392271236</v>
      </c>
      <c r="T32">
        <f t="shared" si="1"/>
        <v>74.1907924339164</v>
      </c>
    </row>
    <row r="33" spans="1:20">
      <c r="A33" s="1" t="s">
        <v>58</v>
      </c>
      <c r="B33">
        <v>113</v>
      </c>
      <c r="C33">
        <v>6222</v>
      </c>
      <c r="D33">
        <v>107</v>
      </c>
      <c r="E33">
        <v>5669</v>
      </c>
      <c r="F33">
        <v>0.000563</v>
      </c>
      <c r="G33">
        <v>5669</v>
      </c>
      <c r="H33">
        <v>0.033565</v>
      </c>
      <c r="I33">
        <v>5669</v>
      </c>
      <c r="J33">
        <v>0.000103</v>
      </c>
      <c r="K33">
        <v>18</v>
      </c>
      <c r="L33">
        <v>11</v>
      </c>
      <c r="M33">
        <v>0.707496</v>
      </c>
      <c r="N33">
        <v>99</v>
      </c>
      <c r="O33">
        <v>0.000895</v>
      </c>
      <c r="P33">
        <v>99</v>
      </c>
      <c r="Q33">
        <v>0.891548</v>
      </c>
      <c r="S33">
        <f t="shared" si="0"/>
        <v>5.30973451327433</v>
      </c>
      <c r="T33">
        <f t="shared" si="1"/>
        <v>8.88781742205079</v>
      </c>
    </row>
    <row r="34" spans="1:20">
      <c r="A34" s="1" t="s">
        <v>59</v>
      </c>
      <c r="B34">
        <v>1206</v>
      </c>
      <c r="C34">
        <v>65990</v>
      </c>
      <c r="D34">
        <v>457</v>
      </c>
      <c r="E34">
        <v>50253</v>
      </c>
      <c r="F34">
        <v>0.006487</v>
      </c>
      <c r="G34">
        <v>48104</v>
      </c>
      <c r="H34">
        <v>1.08743</v>
      </c>
      <c r="I34">
        <v>48082</v>
      </c>
      <c r="J34">
        <v>178.492</v>
      </c>
      <c r="K34">
        <v>779</v>
      </c>
      <c r="L34">
        <v>0</v>
      </c>
      <c r="M34">
        <v>-1</v>
      </c>
      <c r="N34">
        <v>95</v>
      </c>
      <c r="O34">
        <v>0.021563</v>
      </c>
      <c r="P34">
        <v>126</v>
      </c>
      <c r="Q34">
        <v>600</v>
      </c>
      <c r="S34">
        <f t="shared" si="0"/>
        <v>62.106135986733</v>
      </c>
      <c r="T34">
        <f t="shared" si="1"/>
        <v>27.1374450674345</v>
      </c>
    </row>
    <row r="35" spans="1:20">
      <c r="A35" s="1" t="s">
        <v>60</v>
      </c>
      <c r="B35">
        <v>17151</v>
      </c>
      <c r="C35">
        <v>24015</v>
      </c>
      <c r="D35">
        <v>156</v>
      </c>
      <c r="E35">
        <v>1420</v>
      </c>
      <c r="F35">
        <v>0.000717</v>
      </c>
      <c r="G35">
        <v>1203</v>
      </c>
      <c r="H35">
        <v>0.001903</v>
      </c>
      <c r="I35">
        <v>1199</v>
      </c>
      <c r="J35">
        <v>0.106256</v>
      </c>
      <c r="K35">
        <v>1479</v>
      </c>
      <c r="L35">
        <v>301</v>
      </c>
      <c r="M35">
        <v>0.459686</v>
      </c>
      <c r="N35">
        <v>11</v>
      </c>
      <c r="O35">
        <v>0.001944</v>
      </c>
      <c r="P35">
        <v>12</v>
      </c>
      <c r="Q35">
        <v>0.598666</v>
      </c>
      <c r="S35">
        <f t="shared" si="0"/>
        <v>99.0904320447787</v>
      </c>
      <c r="T35">
        <f t="shared" si="1"/>
        <v>95.0072871122215</v>
      </c>
    </row>
    <row r="36" spans="1:20">
      <c r="A36" s="1" t="s">
        <v>61</v>
      </c>
      <c r="B36">
        <v>72</v>
      </c>
      <c r="C36">
        <v>355</v>
      </c>
      <c r="D36">
        <v>18</v>
      </c>
      <c r="E36">
        <v>150</v>
      </c>
      <c r="F36" s="2">
        <v>2.4e-5</v>
      </c>
      <c r="G36">
        <v>150</v>
      </c>
      <c r="H36">
        <v>0.00014</v>
      </c>
      <c r="I36">
        <v>150</v>
      </c>
      <c r="J36" s="4" t="s">
        <v>63</v>
      </c>
      <c r="K36">
        <v>1</v>
      </c>
      <c r="L36">
        <v>0</v>
      </c>
      <c r="M36">
        <v>0.004502</v>
      </c>
      <c r="N36">
        <v>15</v>
      </c>
      <c r="O36" s="2">
        <v>2.9e-5</v>
      </c>
      <c r="P36">
        <v>15</v>
      </c>
      <c r="Q36">
        <v>0.011983</v>
      </c>
      <c r="S36">
        <f t="shared" si="0"/>
        <v>75</v>
      </c>
      <c r="T36">
        <f t="shared" si="1"/>
        <v>57.7464788732394</v>
      </c>
    </row>
    <row r="37" spans="1:20">
      <c r="A37" s="1" t="s">
        <v>65</v>
      </c>
      <c r="B37">
        <v>34</v>
      </c>
      <c r="C37">
        <v>96</v>
      </c>
      <c r="D37">
        <v>12</v>
      </c>
      <c r="E37">
        <v>53</v>
      </c>
      <c r="F37" s="2">
        <v>9e-6</v>
      </c>
      <c r="G37">
        <v>53</v>
      </c>
      <c r="H37" s="2">
        <v>3.5e-5</v>
      </c>
      <c r="I37">
        <v>53</v>
      </c>
      <c r="J37">
        <v>0.002455</v>
      </c>
      <c r="K37">
        <v>22</v>
      </c>
      <c r="L37">
        <v>1</v>
      </c>
      <c r="M37">
        <v>0.004448</v>
      </c>
      <c r="N37">
        <v>7</v>
      </c>
      <c r="O37" s="2">
        <v>9e-6</v>
      </c>
      <c r="P37">
        <v>7</v>
      </c>
      <c r="Q37">
        <v>0.009969</v>
      </c>
      <c r="S37">
        <f t="shared" si="0"/>
        <v>64.7058823529412</v>
      </c>
      <c r="T37">
        <f t="shared" si="1"/>
        <v>44.7916666666667</v>
      </c>
    </row>
    <row r="38" spans="1:20">
      <c r="A38" s="1" t="s">
        <v>67</v>
      </c>
      <c r="B38">
        <v>72</v>
      </c>
      <c r="C38">
        <v>129</v>
      </c>
      <c r="D38">
        <v>12</v>
      </c>
      <c r="E38">
        <v>53</v>
      </c>
      <c r="F38" s="4" t="s">
        <v>106</v>
      </c>
      <c r="G38">
        <v>35</v>
      </c>
      <c r="H38" s="4" t="s">
        <v>152</v>
      </c>
      <c r="I38">
        <v>35</v>
      </c>
      <c r="J38">
        <v>0.003844</v>
      </c>
      <c r="K38">
        <v>7</v>
      </c>
      <c r="L38">
        <v>0</v>
      </c>
      <c r="M38">
        <v>0.002919</v>
      </c>
      <c r="N38">
        <v>7</v>
      </c>
      <c r="O38" s="4" t="s">
        <v>31</v>
      </c>
      <c r="P38">
        <v>7</v>
      </c>
      <c r="Q38">
        <v>0.010416</v>
      </c>
      <c r="S38">
        <f t="shared" si="0"/>
        <v>83.3333333333333</v>
      </c>
      <c r="T38">
        <f t="shared" si="1"/>
        <v>72.8682170542636</v>
      </c>
    </row>
    <row r="39" spans="1:20">
      <c r="A39" s="1" t="s">
        <v>70</v>
      </c>
      <c r="B39">
        <v>80</v>
      </c>
      <c r="C39">
        <v>226</v>
      </c>
      <c r="D39">
        <v>18</v>
      </c>
      <c r="E39">
        <v>103</v>
      </c>
      <c r="F39" s="4" t="s">
        <v>51</v>
      </c>
      <c r="G39">
        <v>80</v>
      </c>
      <c r="H39" s="4" t="s">
        <v>156</v>
      </c>
      <c r="I39">
        <v>80</v>
      </c>
      <c r="J39">
        <v>0.005678</v>
      </c>
      <c r="K39">
        <v>26</v>
      </c>
      <c r="L39">
        <v>2</v>
      </c>
      <c r="M39">
        <v>0.065952</v>
      </c>
      <c r="N39">
        <v>8</v>
      </c>
      <c r="O39" s="4" t="s">
        <v>51</v>
      </c>
      <c r="P39">
        <v>9</v>
      </c>
      <c r="Q39">
        <v>0.079472</v>
      </c>
      <c r="S39">
        <f t="shared" si="0"/>
        <v>77.5</v>
      </c>
      <c r="T39">
        <f t="shared" si="1"/>
        <v>64.6017699115044</v>
      </c>
    </row>
    <row r="40" spans="1:20">
      <c r="A40" s="1" t="s">
        <v>72</v>
      </c>
      <c r="B40">
        <v>34</v>
      </c>
      <c r="C40">
        <v>41</v>
      </c>
      <c r="D40">
        <v>6</v>
      </c>
      <c r="E40">
        <v>14</v>
      </c>
      <c r="F40" s="2">
        <v>5e-6</v>
      </c>
      <c r="G40">
        <v>14</v>
      </c>
      <c r="H40" s="4" t="s">
        <v>106</v>
      </c>
      <c r="I40">
        <v>14</v>
      </c>
      <c r="J40" s="2">
        <v>1e-6</v>
      </c>
      <c r="K40">
        <v>2</v>
      </c>
      <c r="L40">
        <v>1</v>
      </c>
      <c r="M40">
        <v>0.006589</v>
      </c>
      <c r="N40">
        <v>4</v>
      </c>
      <c r="O40" s="4" t="s">
        <v>82</v>
      </c>
      <c r="P40">
        <v>4</v>
      </c>
      <c r="Q40">
        <v>0.015517</v>
      </c>
      <c r="S40">
        <f t="shared" si="0"/>
        <v>82.3529411764706</v>
      </c>
      <c r="T40">
        <f t="shared" si="1"/>
        <v>65.8536585365854</v>
      </c>
    </row>
    <row r="41" spans="1:20">
      <c r="A41" s="1" t="s">
        <v>74</v>
      </c>
      <c r="B41">
        <v>31</v>
      </c>
      <c r="C41">
        <v>39</v>
      </c>
      <c r="D41">
        <v>6</v>
      </c>
      <c r="E41">
        <v>15</v>
      </c>
      <c r="F41" s="2">
        <v>4e-6</v>
      </c>
      <c r="G41">
        <v>15</v>
      </c>
      <c r="H41" s="2">
        <v>9e-6</v>
      </c>
      <c r="I41">
        <v>15</v>
      </c>
      <c r="J41" s="4" t="s">
        <v>25</v>
      </c>
      <c r="K41">
        <v>1</v>
      </c>
      <c r="L41">
        <v>0</v>
      </c>
      <c r="M41">
        <v>0.002689</v>
      </c>
      <c r="N41">
        <v>5</v>
      </c>
      <c r="O41" s="2">
        <v>6e-6</v>
      </c>
      <c r="P41">
        <v>5</v>
      </c>
      <c r="Q41">
        <v>0.01255</v>
      </c>
      <c r="S41">
        <f t="shared" si="0"/>
        <v>80.6451612903226</v>
      </c>
      <c r="T41">
        <f t="shared" si="1"/>
        <v>61.5384615384615</v>
      </c>
    </row>
    <row r="42" spans="1:20">
      <c r="A42" s="1" t="s">
        <v>76</v>
      </c>
      <c r="B42">
        <v>135</v>
      </c>
      <c r="C42">
        <v>1078</v>
      </c>
      <c r="D42">
        <v>37</v>
      </c>
      <c r="E42">
        <v>511</v>
      </c>
      <c r="F42" s="2">
        <v>6.8e-5</v>
      </c>
      <c r="G42">
        <v>486</v>
      </c>
      <c r="H42">
        <v>0.000866</v>
      </c>
      <c r="I42">
        <v>486</v>
      </c>
      <c r="J42">
        <v>0.017022</v>
      </c>
      <c r="K42">
        <v>71</v>
      </c>
      <c r="L42">
        <v>6</v>
      </c>
      <c r="M42">
        <v>0.010305</v>
      </c>
      <c r="N42">
        <v>20</v>
      </c>
      <c r="O42" s="2">
        <v>8.5e-5</v>
      </c>
      <c r="P42">
        <v>20</v>
      </c>
      <c r="Q42">
        <v>0.03629</v>
      </c>
      <c r="S42">
        <f t="shared" si="0"/>
        <v>72.5925925925926</v>
      </c>
      <c r="T42">
        <f t="shared" si="1"/>
        <v>54.9165120593692</v>
      </c>
    </row>
    <row r="43" spans="1:20">
      <c r="A43" s="1" t="s">
        <v>79</v>
      </c>
      <c r="B43">
        <v>13</v>
      </c>
      <c r="C43">
        <v>7</v>
      </c>
      <c r="D43">
        <v>1</v>
      </c>
      <c r="E43">
        <v>0</v>
      </c>
      <c r="F43" s="2">
        <v>2e-6</v>
      </c>
      <c r="G43">
        <v>0</v>
      </c>
      <c r="H43" s="2">
        <v>0</v>
      </c>
      <c r="I43">
        <v>0</v>
      </c>
      <c r="J43">
        <v>0</v>
      </c>
      <c r="K43">
        <v>0</v>
      </c>
      <c r="L43">
        <v>0</v>
      </c>
      <c r="M43">
        <v>0.002135</v>
      </c>
      <c r="N43">
        <v>2</v>
      </c>
      <c r="O43" s="2">
        <v>3e-6</v>
      </c>
      <c r="P43">
        <v>2</v>
      </c>
      <c r="Q43">
        <v>0.005788</v>
      </c>
      <c r="S43">
        <f t="shared" si="0"/>
        <v>92.3076923076923</v>
      </c>
      <c r="T43">
        <f t="shared" si="1"/>
        <v>100</v>
      </c>
    </row>
    <row r="44" spans="1:20">
      <c r="A44" s="1" t="s">
        <v>81</v>
      </c>
      <c r="B44">
        <v>5</v>
      </c>
      <c r="C44">
        <v>6</v>
      </c>
      <c r="D44">
        <v>4</v>
      </c>
      <c r="E44">
        <v>5</v>
      </c>
      <c r="F44" s="4" t="s">
        <v>80</v>
      </c>
      <c r="G44">
        <v>5</v>
      </c>
      <c r="H44" s="4" t="s">
        <v>84</v>
      </c>
      <c r="I44">
        <v>5</v>
      </c>
      <c r="J44">
        <v>0</v>
      </c>
      <c r="K44">
        <v>2</v>
      </c>
      <c r="L44">
        <v>1</v>
      </c>
      <c r="M44">
        <v>0.005044</v>
      </c>
      <c r="N44">
        <v>2</v>
      </c>
      <c r="O44" s="4" t="s">
        <v>80</v>
      </c>
      <c r="P44">
        <v>2</v>
      </c>
      <c r="Q44">
        <v>0.010501</v>
      </c>
      <c r="S44">
        <f t="shared" si="0"/>
        <v>20</v>
      </c>
      <c r="T44">
        <f t="shared" si="1"/>
        <v>16.6666666666667</v>
      </c>
    </row>
    <row r="45" spans="1:20">
      <c r="A45" s="1" t="s">
        <v>83</v>
      </c>
      <c r="B45">
        <v>22</v>
      </c>
      <c r="C45">
        <v>12</v>
      </c>
      <c r="D45">
        <v>2</v>
      </c>
      <c r="E45">
        <v>1</v>
      </c>
      <c r="F45" s="2">
        <v>2e-6</v>
      </c>
      <c r="G45">
        <v>0</v>
      </c>
      <c r="H45" s="2">
        <v>2e-6</v>
      </c>
      <c r="I45">
        <v>0</v>
      </c>
      <c r="J45">
        <v>0</v>
      </c>
      <c r="K45">
        <v>0</v>
      </c>
      <c r="L45">
        <v>0</v>
      </c>
      <c r="M45">
        <v>0.001538</v>
      </c>
      <c r="N45">
        <v>2</v>
      </c>
      <c r="O45" s="2">
        <v>3e-6</v>
      </c>
      <c r="P45">
        <v>2</v>
      </c>
      <c r="Q45">
        <v>0.006493</v>
      </c>
      <c r="S45">
        <f t="shared" si="0"/>
        <v>90.9090909090909</v>
      </c>
      <c r="T45">
        <f t="shared" si="1"/>
        <v>100</v>
      </c>
    </row>
    <row r="46" spans="1:20">
      <c r="A46" s="1" t="s">
        <v>85</v>
      </c>
      <c r="B46">
        <v>62</v>
      </c>
      <c r="C46">
        <v>442</v>
      </c>
      <c r="D46">
        <v>22</v>
      </c>
      <c r="E46">
        <v>207</v>
      </c>
      <c r="F46" s="4" t="s">
        <v>151</v>
      </c>
      <c r="G46">
        <v>168</v>
      </c>
      <c r="H46">
        <v>0.000214</v>
      </c>
      <c r="I46">
        <v>168</v>
      </c>
      <c r="J46">
        <v>0.007844</v>
      </c>
      <c r="K46">
        <v>15</v>
      </c>
      <c r="L46">
        <v>0</v>
      </c>
      <c r="M46">
        <v>0.004902</v>
      </c>
      <c r="N46">
        <v>16</v>
      </c>
      <c r="O46" s="4" t="s">
        <v>69</v>
      </c>
      <c r="P46">
        <v>16</v>
      </c>
      <c r="Q46">
        <v>0.017499</v>
      </c>
      <c r="S46">
        <f t="shared" si="0"/>
        <v>64.5161290322581</v>
      </c>
      <c r="T46">
        <f t="shared" si="1"/>
        <v>61.9909502262443</v>
      </c>
    </row>
    <row r="47" spans="1:20">
      <c r="A47" s="1" t="s">
        <v>87</v>
      </c>
      <c r="B47">
        <v>21</v>
      </c>
      <c r="C47">
        <v>23</v>
      </c>
      <c r="D47">
        <v>6</v>
      </c>
      <c r="E47">
        <v>15</v>
      </c>
      <c r="F47" s="4" t="s">
        <v>31</v>
      </c>
      <c r="G47">
        <v>15</v>
      </c>
      <c r="H47" s="4" t="s">
        <v>66</v>
      </c>
      <c r="I47">
        <v>15</v>
      </c>
      <c r="J47" s="4" t="s">
        <v>25</v>
      </c>
      <c r="K47">
        <v>1</v>
      </c>
      <c r="L47">
        <v>0</v>
      </c>
      <c r="M47">
        <v>0.002837</v>
      </c>
      <c r="N47">
        <v>5</v>
      </c>
      <c r="O47" s="4" t="s">
        <v>63</v>
      </c>
      <c r="P47">
        <v>5</v>
      </c>
      <c r="Q47">
        <v>0.008713</v>
      </c>
      <c r="S47">
        <f t="shared" si="0"/>
        <v>71.4285714285714</v>
      </c>
      <c r="T47">
        <f t="shared" si="1"/>
        <v>34.7826086956522</v>
      </c>
    </row>
    <row r="48" spans="1:20">
      <c r="A48" s="1" t="s">
        <v>88</v>
      </c>
      <c r="B48">
        <v>10</v>
      </c>
      <c r="C48">
        <v>5</v>
      </c>
      <c r="D48">
        <v>0</v>
      </c>
      <c r="E48">
        <v>0</v>
      </c>
      <c r="F48" s="4" t="s">
        <v>25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0.001833</v>
      </c>
      <c r="N48">
        <v>2</v>
      </c>
      <c r="O48" s="4" t="s">
        <v>84</v>
      </c>
      <c r="P48">
        <v>2</v>
      </c>
      <c r="Q48">
        <v>0.005338</v>
      </c>
      <c r="S48">
        <f t="shared" si="0"/>
        <v>100</v>
      </c>
      <c r="T48">
        <f t="shared" si="1"/>
        <v>100</v>
      </c>
    </row>
    <row r="49" spans="1:20">
      <c r="A49" s="1" t="s">
        <v>89</v>
      </c>
      <c r="B49">
        <v>27</v>
      </c>
      <c r="C49">
        <v>26</v>
      </c>
      <c r="D49">
        <v>12</v>
      </c>
      <c r="E49">
        <v>16</v>
      </c>
      <c r="F49" s="4" t="s">
        <v>63</v>
      </c>
      <c r="G49">
        <v>13</v>
      </c>
      <c r="H49" s="4" t="s">
        <v>82</v>
      </c>
      <c r="I49">
        <v>10</v>
      </c>
      <c r="J49">
        <v>0.003143</v>
      </c>
      <c r="K49">
        <v>2</v>
      </c>
      <c r="L49">
        <v>1</v>
      </c>
      <c r="M49">
        <v>0.002848</v>
      </c>
      <c r="N49">
        <v>2</v>
      </c>
      <c r="O49" s="4" t="s">
        <v>73</v>
      </c>
      <c r="P49">
        <v>3</v>
      </c>
      <c r="Q49">
        <v>0.011463</v>
      </c>
      <c r="S49">
        <f t="shared" si="0"/>
        <v>55.5555555555556</v>
      </c>
      <c r="T49">
        <f t="shared" si="1"/>
        <v>61.5384615384615</v>
      </c>
    </row>
    <row r="50" spans="1:20">
      <c r="A50" s="1" t="s">
        <v>90</v>
      </c>
      <c r="B50">
        <v>273</v>
      </c>
      <c r="C50">
        <v>4510</v>
      </c>
      <c r="D50">
        <v>98</v>
      </c>
      <c r="E50">
        <v>2781</v>
      </c>
      <c r="F50">
        <v>0.00035</v>
      </c>
      <c r="G50">
        <v>2753</v>
      </c>
      <c r="H50">
        <v>0.010771</v>
      </c>
      <c r="I50">
        <v>2753</v>
      </c>
      <c r="J50">
        <v>0.801441</v>
      </c>
      <c r="K50">
        <v>594</v>
      </c>
      <c r="L50">
        <v>29</v>
      </c>
      <c r="M50">
        <v>0.142675</v>
      </c>
      <c r="N50">
        <v>30</v>
      </c>
      <c r="O50">
        <v>0.000583</v>
      </c>
      <c r="P50">
        <v>37</v>
      </c>
      <c r="Q50">
        <v>0.976105</v>
      </c>
      <c r="S50">
        <f t="shared" si="0"/>
        <v>64.1025641025641</v>
      </c>
      <c r="T50">
        <f t="shared" si="1"/>
        <v>38.9578713968958</v>
      </c>
    </row>
    <row r="51" spans="1:20">
      <c r="A51" s="1" t="s">
        <v>91</v>
      </c>
      <c r="B51">
        <v>102</v>
      </c>
      <c r="C51">
        <v>108</v>
      </c>
      <c r="D51">
        <v>11</v>
      </c>
      <c r="E51">
        <v>33</v>
      </c>
      <c r="F51" s="4" t="s">
        <v>82</v>
      </c>
      <c r="G51">
        <v>33</v>
      </c>
      <c r="H51" s="4" t="s">
        <v>130</v>
      </c>
      <c r="I51">
        <v>33</v>
      </c>
      <c r="J51">
        <v>0.003113</v>
      </c>
      <c r="K51">
        <v>5</v>
      </c>
      <c r="L51">
        <v>1</v>
      </c>
      <c r="M51">
        <v>0.002494</v>
      </c>
      <c r="N51">
        <v>4</v>
      </c>
      <c r="O51" s="4" t="s">
        <v>48</v>
      </c>
      <c r="P51">
        <v>5</v>
      </c>
      <c r="Q51">
        <v>0.013234</v>
      </c>
      <c r="S51">
        <f t="shared" si="0"/>
        <v>89.2156862745098</v>
      </c>
      <c r="T51">
        <f t="shared" si="1"/>
        <v>69.4444444444444</v>
      </c>
    </row>
    <row r="52" spans="1:20">
      <c r="A52" s="1" t="s">
        <v>93</v>
      </c>
      <c r="B52">
        <v>8</v>
      </c>
      <c r="C52">
        <v>4</v>
      </c>
      <c r="D52">
        <v>0</v>
      </c>
      <c r="E52">
        <v>0</v>
      </c>
      <c r="F52" s="2">
        <v>1e-6</v>
      </c>
      <c r="G52">
        <v>0</v>
      </c>
      <c r="H52" s="2">
        <v>0</v>
      </c>
      <c r="I52">
        <v>0</v>
      </c>
      <c r="J52">
        <v>0</v>
      </c>
      <c r="K52">
        <v>0</v>
      </c>
      <c r="L52">
        <v>0</v>
      </c>
      <c r="M52">
        <v>0.001597</v>
      </c>
      <c r="N52">
        <v>2</v>
      </c>
      <c r="O52" s="2">
        <v>2e-6</v>
      </c>
      <c r="P52">
        <v>2</v>
      </c>
      <c r="Q52">
        <v>0.004806</v>
      </c>
      <c r="S52">
        <f t="shared" si="0"/>
        <v>100</v>
      </c>
      <c r="T52">
        <f t="shared" si="1"/>
        <v>100</v>
      </c>
    </row>
    <row r="53" spans="1:20">
      <c r="A53" s="1" t="s">
        <v>94</v>
      </c>
      <c r="B53">
        <v>55</v>
      </c>
      <c r="C53">
        <v>60</v>
      </c>
      <c r="D53">
        <v>8</v>
      </c>
      <c r="E53">
        <v>20</v>
      </c>
      <c r="F53" s="2">
        <v>6e-6</v>
      </c>
      <c r="G53">
        <v>10</v>
      </c>
      <c r="H53" s="2">
        <v>1.2e-5</v>
      </c>
      <c r="I53">
        <v>10</v>
      </c>
      <c r="J53">
        <v>0.003846</v>
      </c>
      <c r="K53">
        <v>4</v>
      </c>
      <c r="L53">
        <v>0</v>
      </c>
      <c r="M53">
        <v>0.003272</v>
      </c>
      <c r="N53">
        <v>4</v>
      </c>
      <c r="O53" s="2">
        <v>9e-6</v>
      </c>
      <c r="P53">
        <v>4</v>
      </c>
      <c r="Q53">
        <v>0.011329</v>
      </c>
      <c r="S53">
        <f t="shared" si="0"/>
        <v>85.4545454545455</v>
      </c>
      <c r="T53">
        <f t="shared" si="1"/>
        <v>83.3333333333333</v>
      </c>
    </row>
    <row r="54" spans="1:20">
      <c r="A54" s="1" t="s">
        <v>95</v>
      </c>
      <c r="B54">
        <v>127</v>
      </c>
      <c r="C54">
        <v>931</v>
      </c>
      <c r="D54">
        <v>38</v>
      </c>
      <c r="E54">
        <v>449</v>
      </c>
      <c r="F54" s="2">
        <v>6.3e-5</v>
      </c>
      <c r="G54">
        <v>408</v>
      </c>
      <c r="H54" s="2">
        <v>0.000683</v>
      </c>
      <c r="I54">
        <v>408</v>
      </c>
      <c r="J54">
        <v>0.020133</v>
      </c>
      <c r="K54">
        <v>96</v>
      </c>
      <c r="L54">
        <v>2</v>
      </c>
      <c r="M54">
        <v>0.006644</v>
      </c>
      <c r="N54">
        <v>16</v>
      </c>
      <c r="O54" s="2">
        <v>7.3e-5</v>
      </c>
      <c r="P54">
        <v>17</v>
      </c>
      <c r="Q54">
        <v>0.033722</v>
      </c>
      <c r="S54">
        <f t="shared" si="0"/>
        <v>70.0787401574803</v>
      </c>
      <c r="T54">
        <f t="shared" si="1"/>
        <v>56.1761546723953</v>
      </c>
    </row>
    <row r="55" spans="1:20">
      <c r="A55" s="1" t="s">
        <v>98</v>
      </c>
      <c r="B55">
        <v>16</v>
      </c>
      <c r="C55">
        <v>13</v>
      </c>
      <c r="D55">
        <v>5</v>
      </c>
      <c r="E55">
        <v>5</v>
      </c>
      <c r="F55" s="4" t="s">
        <v>84</v>
      </c>
      <c r="G55">
        <v>5</v>
      </c>
      <c r="H55" s="4" t="s">
        <v>63</v>
      </c>
      <c r="I55">
        <v>5</v>
      </c>
      <c r="J55">
        <v>0</v>
      </c>
      <c r="K55">
        <v>2</v>
      </c>
      <c r="L55">
        <v>1</v>
      </c>
      <c r="M55">
        <v>0.005189</v>
      </c>
      <c r="N55">
        <v>2</v>
      </c>
      <c r="O55" s="4" t="s">
        <v>63</v>
      </c>
      <c r="P55">
        <v>2</v>
      </c>
      <c r="Q55">
        <v>0.012673</v>
      </c>
      <c r="S55">
        <f t="shared" si="0"/>
        <v>68.75</v>
      </c>
      <c r="T55">
        <f t="shared" si="1"/>
        <v>61.5384615384615</v>
      </c>
    </row>
    <row r="56" spans="1:20">
      <c r="A56" s="1" t="s">
        <v>99</v>
      </c>
      <c r="B56">
        <v>35</v>
      </c>
      <c r="C56">
        <v>368</v>
      </c>
      <c r="D56">
        <v>27</v>
      </c>
      <c r="E56">
        <v>351</v>
      </c>
      <c r="F56" s="2">
        <v>3.5e-5</v>
      </c>
      <c r="G56">
        <v>351</v>
      </c>
      <c r="H56" s="2">
        <v>0.000488</v>
      </c>
      <c r="I56">
        <v>351</v>
      </c>
      <c r="J56" s="4" t="s">
        <v>21</v>
      </c>
      <c r="K56">
        <v>1</v>
      </c>
      <c r="L56">
        <v>0</v>
      </c>
      <c r="M56">
        <v>0.006563</v>
      </c>
      <c r="N56">
        <v>26</v>
      </c>
      <c r="O56" s="2">
        <v>2.5e-5</v>
      </c>
      <c r="P56">
        <v>26</v>
      </c>
      <c r="Q56">
        <v>0.016449</v>
      </c>
      <c r="S56">
        <f t="shared" si="0"/>
        <v>22.8571428571429</v>
      </c>
      <c r="T56">
        <f t="shared" si="1"/>
        <v>4.61956521739131</v>
      </c>
    </row>
    <row r="57" spans="1:20">
      <c r="A57" s="1" t="s">
        <v>102</v>
      </c>
      <c r="B57">
        <v>26</v>
      </c>
      <c r="C57">
        <v>15</v>
      </c>
      <c r="D57">
        <v>3</v>
      </c>
      <c r="E57">
        <v>1</v>
      </c>
      <c r="F57" s="4" t="s">
        <v>80</v>
      </c>
      <c r="G57">
        <v>0</v>
      </c>
      <c r="H57" s="4" t="s">
        <v>25</v>
      </c>
      <c r="I57">
        <v>0</v>
      </c>
      <c r="J57">
        <v>0</v>
      </c>
      <c r="K57">
        <v>0</v>
      </c>
      <c r="L57">
        <v>0</v>
      </c>
      <c r="M57">
        <v>0.001711</v>
      </c>
      <c r="N57">
        <v>2</v>
      </c>
      <c r="O57" s="4" t="s">
        <v>63</v>
      </c>
      <c r="P57">
        <v>2</v>
      </c>
      <c r="Q57">
        <v>0.004915</v>
      </c>
      <c r="S57">
        <f t="shared" si="0"/>
        <v>88.4615384615385</v>
      </c>
      <c r="T57">
        <f t="shared" si="1"/>
        <v>100</v>
      </c>
    </row>
    <row r="58" spans="1:20">
      <c r="A58" s="1" t="s">
        <v>103</v>
      </c>
      <c r="B58">
        <v>14</v>
      </c>
      <c r="C58">
        <v>11</v>
      </c>
      <c r="D58">
        <v>5</v>
      </c>
      <c r="E58">
        <v>3</v>
      </c>
      <c r="F58" s="2">
        <v>2e-6</v>
      </c>
      <c r="G58">
        <v>3</v>
      </c>
      <c r="H58" s="2">
        <v>4e-6</v>
      </c>
      <c r="I58">
        <v>3</v>
      </c>
      <c r="J58" s="4" t="s">
        <v>84</v>
      </c>
      <c r="K58">
        <v>1</v>
      </c>
      <c r="L58">
        <v>0</v>
      </c>
      <c r="M58">
        <v>0.002969</v>
      </c>
      <c r="N58">
        <v>2</v>
      </c>
      <c r="O58" s="2">
        <v>4e-6</v>
      </c>
      <c r="P58">
        <v>2</v>
      </c>
      <c r="Q58">
        <v>0.014131</v>
      </c>
      <c r="S58">
        <f t="shared" si="0"/>
        <v>64.2857142857143</v>
      </c>
      <c r="T58">
        <f t="shared" si="1"/>
        <v>72.7272727272727</v>
      </c>
    </row>
    <row r="59" spans="1:20">
      <c r="A59" s="1" t="s">
        <v>104</v>
      </c>
      <c r="B59">
        <v>28</v>
      </c>
      <c r="C59">
        <v>91</v>
      </c>
      <c r="D59">
        <v>12</v>
      </c>
      <c r="E59">
        <v>55</v>
      </c>
      <c r="F59" s="4" t="s">
        <v>82</v>
      </c>
      <c r="G59">
        <v>55</v>
      </c>
      <c r="H59" s="4" t="s">
        <v>157</v>
      </c>
      <c r="I59">
        <v>55</v>
      </c>
      <c r="J59">
        <v>0.002478</v>
      </c>
      <c r="K59">
        <v>21</v>
      </c>
      <c r="L59">
        <v>0</v>
      </c>
      <c r="M59">
        <v>0.002599</v>
      </c>
      <c r="N59">
        <v>7</v>
      </c>
      <c r="O59" s="4" t="s">
        <v>82</v>
      </c>
      <c r="P59">
        <v>7</v>
      </c>
      <c r="Q59">
        <v>0.008085</v>
      </c>
      <c r="S59">
        <f t="shared" si="0"/>
        <v>57.1428571428571</v>
      </c>
      <c r="T59">
        <f t="shared" si="1"/>
        <v>39.5604395604396</v>
      </c>
    </row>
    <row r="60" spans="1:20">
      <c r="A60" s="1" t="s">
        <v>105</v>
      </c>
      <c r="B60">
        <v>26</v>
      </c>
      <c r="C60">
        <v>18</v>
      </c>
      <c r="D60">
        <v>6</v>
      </c>
      <c r="E60">
        <v>6</v>
      </c>
      <c r="F60" s="2">
        <v>1e-5</v>
      </c>
      <c r="G60">
        <v>5</v>
      </c>
      <c r="H60" s="2">
        <v>4e-6</v>
      </c>
      <c r="I60">
        <v>4</v>
      </c>
      <c r="J60">
        <v>0.002677</v>
      </c>
      <c r="K60">
        <v>1</v>
      </c>
      <c r="L60">
        <v>0</v>
      </c>
      <c r="M60">
        <v>0.023065</v>
      </c>
      <c r="N60">
        <v>2</v>
      </c>
      <c r="O60" s="2">
        <v>1.8e-5</v>
      </c>
      <c r="P60">
        <v>2</v>
      </c>
      <c r="Q60">
        <v>0.034903</v>
      </c>
      <c r="S60">
        <f t="shared" si="0"/>
        <v>76.9230769230769</v>
      </c>
      <c r="T60">
        <f t="shared" si="1"/>
        <v>77.7777777777778</v>
      </c>
    </row>
    <row r="61" spans="1:20">
      <c r="A61" s="1" t="s">
        <v>108</v>
      </c>
      <c r="B61">
        <v>13</v>
      </c>
      <c r="C61">
        <v>8</v>
      </c>
      <c r="D61">
        <v>2</v>
      </c>
      <c r="E61">
        <v>1</v>
      </c>
      <c r="F61" s="4" t="s">
        <v>80</v>
      </c>
      <c r="G61">
        <v>0</v>
      </c>
      <c r="H61" s="4" t="s">
        <v>80</v>
      </c>
      <c r="I61">
        <v>0</v>
      </c>
      <c r="J61">
        <v>0</v>
      </c>
      <c r="K61">
        <v>0</v>
      </c>
      <c r="L61">
        <v>0</v>
      </c>
      <c r="M61">
        <v>0.001928</v>
      </c>
      <c r="N61">
        <v>2</v>
      </c>
      <c r="O61" s="4" t="s">
        <v>84</v>
      </c>
      <c r="P61">
        <v>2</v>
      </c>
      <c r="Q61">
        <v>0.007205</v>
      </c>
      <c r="S61">
        <f t="shared" si="0"/>
        <v>84.6153846153846</v>
      </c>
      <c r="T61">
        <f t="shared" si="1"/>
        <v>100</v>
      </c>
    </row>
    <row r="62" spans="1:20">
      <c r="A62" s="1" t="s">
        <v>109</v>
      </c>
      <c r="B62">
        <v>18</v>
      </c>
      <c r="C62">
        <v>12</v>
      </c>
      <c r="D62">
        <v>5</v>
      </c>
      <c r="E62">
        <v>3</v>
      </c>
      <c r="F62" s="2">
        <v>2e-6</v>
      </c>
      <c r="G62">
        <v>3</v>
      </c>
      <c r="H62" s="2">
        <v>3e-6</v>
      </c>
      <c r="I62">
        <v>3</v>
      </c>
      <c r="J62">
        <v>0</v>
      </c>
      <c r="K62">
        <v>1</v>
      </c>
      <c r="L62">
        <v>0</v>
      </c>
      <c r="M62">
        <v>0.003216</v>
      </c>
      <c r="N62">
        <v>2</v>
      </c>
      <c r="O62" s="2">
        <v>4e-6</v>
      </c>
      <c r="P62">
        <v>2</v>
      </c>
      <c r="Q62">
        <v>0.01033</v>
      </c>
      <c r="S62">
        <f t="shared" si="0"/>
        <v>72.2222222222222</v>
      </c>
      <c r="T62">
        <f t="shared" si="1"/>
        <v>75</v>
      </c>
    </row>
    <row r="63" spans="1:20">
      <c r="A63" s="1" t="s">
        <v>110</v>
      </c>
      <c r="B63">
        <v>7</v>
      </c>
      <c r="C63">
        <v>5</v>
      </c>
      <c r="D63">
        <v>3</v>
      </c>
      <c r="E63">
        <v>3</v>
      </c>
      <c r="F63" s="2">
        <v>1e-6</v>
      </c>
      <c r="G63">
        <v>3</v>
      </c>
      <c r="H63" s="2">
        <v>2e-6</v>
      </c>
      <c r="I63">
        <v>3</v>
      </c>
      <c r="J63">
        <v>0</v>
      </c>
      <c r="K63">
        <v>1</v>
      </c>
      <c r="L63">
        <v>0</v>
      </c>
      <c r="M63">
        <v>0.002663</v>
      </c>
      <c r="N63">
        <v>2</v>
      </c>
      <c r="O63" s="2">
        <v>8e-6</v>
      </c>
      <c r="P63">
        <v>2</v>
      </c>
      <c r="Q63">
        <v>0.016359</v>
      </c>
      <c r="S63">
        <f t="shared" si="0"/>
        <v>57.1428571428571</v>
      </c>
      <c r="T63">
        <f t="shared" si="1"/>
        <v>40</v>
      </c>
    </row>
    <row r="64" spans="1:20">
      <c r="A64" s="1" t="s">
        <v>111</v>
      </c>
      <c r="B64">
        <v>2623</v>
      </c>
      <c r="C64">
        <v>473614</v>
      </c>
      <c r="D64">
        <v>1260</v>
      </c>
      <c r="E64">
        <v>449592</v>
      </c>
      <c r="F64" s="2">
        <v>0.06218</v>
      </c>
      <c r="G64">
        <v>449570</v>
      </c>
      <c r="H64" s="2">
        <v>45.6326</v>
      </c>
      <c r="I64">
        <v>449570</v>
      </c>
      <c r="J64">
        <v>460.801</v>
      </c>
      <c r="K64">
        <v>0</v>
      </c>
      <c r="L64">
        <v>0</v>
      </c>
      <c r="M64">
        <v>-1</v>
      </c>
      <c r="N64">
        <v>179</v>
      </c>
      <c r="O64" s="2">
        <v>0.844849</v>
      </c>
      <c r="P64">
        <v>179</v>
      </c>
      <c r="Q64">
        <v>600</v>
      </c>
      <c r="S64">
        <f t="shared" si="0"/>
        <v>51.9634006862371</v>
      </c>
      <c r="T64">
        <f t="shared" si="1"/>
        <v>5.0767080365023</v>
      </c>
    </row>
    <row r="65" spans="1:20">
      <c r="A65" s="1" t="s">
        <v>112</v>
      </c>
      <c r="B65">
        <v>56739</v>
      </c>
      <c r="C65">
        <v>212945</v>
      </c>
      <c r="D65">
        <v>8461</v>
      </c>
      <c r="E65">
        <v>106306</v>
      </c>
      <c r="F65" s="2">
        <v>0.019382</v>
      </c>
      <c r="G65">
        <v>40878</v>
      </c>
      <c r="H65" s="2">
        <v>0.21357</v>
      </c>
      <c r="I65">
        <v>40701</v>
      </c>
      <c r="J65">
        <v>0.406031</v>
      </c>
      <c r="K65">
        <v>702</v>
      </c>
      <c r="L65">
        <v>0</v>
      </c>
      <c r="M65">
        <v>-1</v>
      </c>
      <c r="N65">
        <v>8</v>
      </c>
      <c r="O65" s="2">
        <v>0.01705</v>
      </c>
      <c r="P65">
        <v>20</v>
      </c>
      <c r="Q65">
        <v>600</v>
      </c>
      <c r="S65">
        <f t="shared" si="0"/>
        <v>85.0878584395213</v>
      </c>
      <c r="T65">
        <f t="shared" si="1"/>
        <v>80.886613914391</v>
      </c>
    </row>
    <row r="66" spans="1:20">
      <c r="A66" s="1" t="s">
        <v>113</v>
      </c>
      <c r="B66">
        <v>62</v>
      </c>
      <c r="C66">
        <v>159</v>
      </c>
      <c r="D66">
        <v>31</v>
      </c>
      <c r="E66">
        <v>90</v>
      </c>
      <c r="F66" s="2">
        <v>4.2e-5</v>
      </c>
      <c r="G66">
        <v>0</v>
      </c>
      <c r="H66" s="2">
        <v>9.9e-5</v>
      </c>
      <c r="I66">
        <v>0</v>
      </c>
      <c r="J66" s="4" t="s">
        <v>25</v>
      </c>
      <c r="K66">
        <v>0</v>
      </c>
      <c r="L66">
        <v>0</v>
      </c>
      <c r="M66">
        <v>0.002821</v>
      </c>
      <c r="N66">
        <v>5</v>
      </c>
      <c r="O66" s="2">
        <v>3.3e-5</v>
      </c>
      <c r="P66">
        <v>5</v>
      </c>
      <c r="Q66">
        <v>0.010115</v>
      </c>
      <c r="S66">
        <f t="shared" ref="S66:S96" si="2">(1-D66/B66)*100</f>
        <v>50</v>
      </c>
      <c r="T66">
        <f t="shared" ref="T66:T96" si="3">(1-I66/C66)*100</f>
        <v>100</v>
      </c>
    </row>
    <row r="67" spans="1:20">
      <c r="A67" s="1" t="s">
        <v>116</v>
      </c>
      <c r="B67">
        <v>154908</v>
      </c>
      <c r="C67">
        <v>327162</v>
      </c>
      <c r="D67">
        <v>29489</v>
      </c>
      <c r="E67">
        <v>179659</v>
      </c>
      <c r="F67" s="2">
        <v>0.036006</v>
      </c>
      <c r="G67">
        <v>23461</v>
      </c>
      <c r="H67" s="2">
        <v>0.124593</v>
      </c>
      <c r="I67">
        <v>23140</v>
      </c>
      <c r="J67">
        <v>0.101351</v>
      </c>
      <c r="K67">
        <v>1492</v>
      </c>
      <c r="L67">
        <v>1152</v>
      </c>
      <c r="M67">
        <v>267.724</v>
      </c>
      <c r="N67">
        <v>3</v>
      </c>
      <c r="O67" s="2">
        <v>0.025661</v>
      </c>
      <c r="P67">
        <v>4</v>
      </c>
      <c r="Q67">
        <v>268.421</v>
      </c>
      <c r="S67">
        <f t="shared" si="2"/>
        <v>80.9635396493402</v>
      </c>
      <c r="T67">
        <f t="shared" si="3"/>
        <v>92.9270514301783</v>
      </c>
    </row>
    <row r="68" spans="1:20">
      <c r="A68" s="1" t="s">
        <v>117</v>
      </c>
      <c r="B68">
        <v>26588</v>
      </c>
      <c r="C68">
        <v>100120</v>
      </c>
      <c r="D68">
        <v>5212</v>
      </c>
      <c r="E68">
        <v>64043</v>
      </c>
      <c r="F68">
        <v>0.010248</v>
      </c>
      <c r="G68">
        <v>25100</v>
      </c>
      <c r="H68">
        <v>0.106311</v>
      </c>
      <c r="I68">
        <v>24821</v>
      </c>
      <c r="J68">
        <v>0.154555</v>
      </c>
      <c r="K68">
        <v>2181</v>
      </c>
      <c r="L68">
        <v>0</v>
      </c>
      <c r="M68">
        <v>-1</v>
      </c>
      <c r="N68">
        <v>6</v>
      </c>
      <c r="O68">
        <v>0.007902</v>
      </c>
      <c r="P68">
        <v>9</v>
      </c>
      <c r="Q68">
        <v>600</v>
      </c>
      <c r="S68">
        <f t="shared" si="2"/>
        <v>80.3971716563863</v>
      </c>
      <c r="T68">
        <f t="shared" si="3"/>
        <v>75.2087495005993</v>
      </c>
    </row>
    <row r="69" spans="1:20">
      <c r="A69" s="1" t="s">
        <v>118</v>
      </c>
      <c r="B69">
        <v>22900</v>
      </c>
      <c r="C69">
        <v>852419</v>
      </c>
      <c r="D69">
        <v>18887</v>
      </c>
      <c r="E69">
        <v>829031</v>
      </c>
      <c r="F69" s="2">
        <v>0.141679</v>
      </c>
      <c r="G69">
        <v>383637</v>
      </c>
      <c r="H69" s="2">
        <v>4.76672</v>
      </c>
      <c r="I69">
        <v>383334</v>
      </c>
      <c r="J69">
        <v>0.404504</v>
      </c>
      <c r="K69">
        <v>439</v>
      </c>
      <c r="L69">
        <v>0</v>
      </c>
      <c r="M69">
        <v>-1</v>
      </c>
      <c r="N69">
        <v>14</v>
      </c>
      <c r="O69" s="2">
        <v>0.130747</v>
      </c>
      <c r="P69">
        <v>25</v>
      </c>
      <c r="Q69">
        <v>600</v>
      </c>
      <c r="S69">
        <f t="shared" si="2"/>
        <v>17.5240174672489</v>
      </c>
      <c r="T69">
        <f t="shared" si="3"/>
        <v>55.0298620748716</v>
      </c>
    </row>
    <row r="70" spans="1:20">
      <c r="A70" s="1" t="s">
        <v>119</v>
      </c>
      <c r="B70">
        <v>6621</v>
      </c>
      <c r="C70">
        <v>249959</v>
      </c>
      <c r="D70">
        <v>5334</v>
      </c>
      <c r="E70">
        <v>241890</v>
      </c>
      <c r="F70" s="2">
        <v>0.038409</v>
      </c>
      <c r="G70">
        <v>148690</v>
      </c>
      <c r="H70">
        <v>1.51597</v>
      </c>
      <c r="I70">
        <v>148364</v>
      </c>
      <c r="J70">
        <v>0.45632</v>
      </c>
      <c r="K70">
        <v>366</v>
      </c>
      <c r="L70">
        <v>0</v>
      </c>
      <c r="M70">
        <v>-1</v>
      </c>
      <c r="N70">
        <v>15</v>
      </c>
      <c r="O70">
        <v>0.035823</v>
      </c>
      <c r="P70">
        <v>26</v>
      </c>
      <c r="Q70">
        <v>600</v>
      </c>
      <c r="S70">
        <f t="shared" si="2"/>
        <v>19.4381513366561</v>
      </c>
      <c r="T70">
        <f t="shared" si="3"/>
        <v>40.6446657251789</v>
      </c>
    </row>
    <row r="71" spans="1:20">
      <c r="A71" s="1" t="s">
        <v>120</v>
      </c>
      <c r="B71">
        <v>9885</v>
      </c>
      <c r="C71">
        <v>506437</v>
      </c>
      <c r="D71">
        <v>8502</v>
      </c>
      <c r="E71">
        <v>499525</v>
      </c>
      <c r="F71">
        <v>0.082237</v>
      </c>
      <c r="G71">
        <v>367862</v>
      </c>
      <c r="H71">
        <v>3.7766</v>
      </c>
      <c r="I71">
        <v>367575</v>
      </c>
      <c r="J71">
        <v>0.390077</v>
      </c>
      <c r="K71">
        <v>401</v>
      </c>
      <c r="L71">
        <v>0</v>
      </c>
      <c r="M71">
        <v>-1</v>
      </c>
      <c r="N71">
        <v>13</v>
      </c>
      <c r="O71">
        <v>0.084838</v>
      </c>
      <c r="P71">
        <v>24</v>
      </c>
      <c r="Q71">
        <v>600</v>
      </c>
      <c r="S71">
        <f t="shared" si="2"/>
        <v>13.9908952959029</v>
      </c>
      <c r="T71">
        <f t="shared" si="3"/>
        <v>27.4194026107887</v>
      </c>
    </row>
    <row r="72" spans="1:20">
      <c r="A72" s="1" t="s">
        <v>121</v>
      </c>
      <c r="B72">
        <v>6402</v>
      </c>
      <c r="C72">
        <v>251230</v>
      </c>
      <c r="D72">
        <v>5016</v>
      </c>
      <c r="E72">
        <v>243505</v>
      </c>
      <c r="F72">
        <v>0.039196</v>
      </c>
      <c r="G72">
        <v>155781</v>
      </c>
      <c r="H72">
        <v>1.6447</v>
      </c>
      <c r="I72">
        <v>155462</v>
      </c>
      <c r="J72">
        <v>0.457174</v>
      </c>
      <c r="K72">
        <v>352</v>
      </c>
      <c r="L72">
        <v>0</v>
      </c>
      <c r="M72">
        <v>-1</v>
      </c>
      <c r="N72">
        <v>15</v>
      </c>
      <c r="O72">
        <v>0.037451</v>
      </c>
      <c r="P72">
        <v>25</v>
      </c>
      <c r="Q72">
        <v>600</v>
      </c>
      <c r="S72">
        <f t="shared" si="2"/>
        <v>21.6494845360825</v>
      </c>
      <c r="T72">
        <f t="shared" si="3"/>
        <v>38.1196513155276</v>
      </c>
    </row>
    <row r="73" spans="1:20">
      <c r="A73" s="1" t="s">
        <v>122</v>
      </c>
      <c r="B73">
        <v>63392</v>
      </c>
      <c r="C73">
        <v>816886</v>
      </c>
      <c r="D73">
        <v>29975</v>
      </c>
      <c r="E73">
        <v>696932</v>
      </c>
      <c r="F73" s="2">
        <v>0.125536</v>
      </c>
      <c r="G73">
        <v>334130</v>
      </c>
      <c r="H73" s="2">
        <v>2.21242</v>
      </c>
      <c r="I73">
        <v>333865</v>
      </c>
      <c r="J73">
        <v>0.262592</v>
      </c>
      <c r="K73">
        <v>440</v>
      </c>
      <c r="L73">
        <v>0</v>
      </c>
      <c r="M73">
        <v>-1</v>
      </c>
      <c r="N73">
        <v>10</v>
      </c>
      <c r="O73" s="2">
        <v>0.098935</v>
      </c>
      <c r="P73">
        <v>19</v>
      </c>
      <c r="Q73">
        <v>600</v>
      </c>
      <c r="S73">
        <f t="shared" si="2"/>
        <v>52.7148536092882</v>
      </c>
      <c r="T73">
        <f t="shared" si="3"/>
        <v>59.1295480642342</v>
      </c>
    </row>
    <row r="74" spans="1:20">
      <c r="A74" s="1" t="s">
        <v>123</v>
      </c>
      <c r="B74">
        <v>11586</v>
      </c>
      <c r="C74">
        <v>568309</v>
      </c>
      <c r="D74">
        <v>8834</v>
      </c>
      <c r="E74">
        <v>552370</v>
      </c>
      <c r="F74" s="2">
        <v>0.092944</v>
      </c>
      <c r="G74">
        <v>377575</v>
      </c>
      <c r="H74">
        <v>4.77806</v>
      </c>
      <c r="I74">
        <v>377252</v>
      </c>
      <c r="J74">
        <v>0.597973</v>
      </c>
      <c r="K74">
        <v>395</v>
      </c>
      <c r="L74">
        <v>0</v>
      </c>
      <c r="M74">
        <v>-1</v>
      </c>
      <c r="N74">
        <v>15</v>
      </c>
      <c r="O74" s="2">
        <v>0.10573</v>
      </c>
      <c r="P74">
        <v>28</v>
      </c>
      <c r="Q74">
        <v>600</v>
      </c>
      <c r="S74">
        <f t="shared" si="2"/>
        <v>23.752805109615</v>
      </c>
      <c r="T74">
        <f t="shared" si="3"/>
        <v>33.6185068334304</v>
      </c>
    </row>
    <row r="75" spans="1:20">
      <c r="A75" s="1" t="s">
        <v>124</v>
      </c>
      <c r="B75">
        <v>20453</v>
      </c>
      <c r="C75">
        <v>747604</v>
      </c>
      <c r="D75">
        <v>15550</v>
      </c>
      <c r="E75">
        <v>713798</v>
      </c>
      <c r="F75">
        <v>0.118848</v>
      </c>
      <c r="G75">
        <v>319513</v>
      </c>
      <c r="H75">
        <v>4.04982</v>
      </c>
      <c r="I75">
        <v>319216</v>
      </c>
      <c r="J75">
        <v>0.562135</v>
      </c>
      <c r="K75">
        <v>450</v>
      </c>
      <c r="L75">
        <v>0</v>
      </c>
      <c r="M75">
        <v>-1</v>
      </c>
      <c r="N75">
        <v>16</v>
      </c>
      <c r="O75">
        <v>0.114384</v>
      </c>
      <c r="P75">
        <v>27</v>
      </c>
      <c r="Q75">
        <v>600</v>
      </c>
      <c r="S75">
        <f t="shared" si="2"/>
        <v>23.9720334425268</v>
      </c>
      <c r="T75">
        <f t="shared" si="3"/>
        <v>57.3014590612142</v>
      </c>
    </row>
    <row r="76" spans="1:20">
      <c r="A76" s="1" t="s">
        <v>125</v>
      </c>
      <c r="B76">
        <v>17206</v>
      </c>
      <c r="C76">
        <v>604867</v>
      </c>
      <c r="D76">
        <v>14706</v>
      </c>
      <c r="E76">
        <v>589090</v>
      </c>
      <c r="F76">
        <v>0.100934</v>
      </c>
      <c r="G76">
        <v>225375</v>
      </c>
      <c r="H76">
        <v>2.78171</v>
      </c>
      <c r="I76">
        <v>225030</v>
      </c>
      <c r="J76">
        <v>0.406996</v>
      </c>
      <c r="K76">
        <v>396</v>
      </c>
      <c r="L76">
        <v>0</v>
      </c>
      <c r="M76">
        <v>-1</v>
      </c>
      <c r="N76">
        <v>14</v>
      </c>
      <c r="O76">
        <v>0.098302</v>
      </c>
      <c r="P76">
        <v>25</v>
      </c>
      <c r="Q76">
        <v>600</v>
      </c>
      <c r="S76">
        <f t="shared" si="2"/>
        <v>14.5298151807509</v>
      </c>
      <c r="T76">
        <f t="shared" si="3"/>
        <v>62.7967801186046</v>
      </c>
    </row>
    <row r="77" spans="1:20">
      <c r="A77" s="1" t="s">
        <v>126</v>
      </c>
      <c r="B77">
        <v>14917</v>
      </c>
      <c r="C77">
        <v>482215</v>
      </c>
      <c r="D77">
        <v>11633</v>
      </c>
      <c r="E77">
        <v>458848</v>
      </c>
      <c r="F77" s="2">
        <v>0.076248</v>
      </c>
      <c r="G77">
        <v>181206</v>
      </c>
      <c r="H77" s="2">
        <v>2.22819</v>
      </c>
      <c r="I77">
        <v>180862</v>
      </c>
      <c r="J77">
        <v>0.618727</v>
      </c>
      <c r="K77">
        <v>384</v>
      </c>
      <c r="L77">
        <v>0</v>
      </c>
      <c r="M77">
        <v>-1</v>
      </c>
      <c r="N77">
        <v>16</v>
      </c>
      <c r="O77" s="2">
        <v>0.069213</v>
      </c>
      <c r="P77">
        <v>30</v>
      </c>
      <c r="Q77">
        <v>600</v>
      </c>
      <c r="S77">
        <f t="shared" si="2"/>
        <v>22.0151504994302</v>
      </c>
      <c r="T77">
        <f t="shared" si="3"/>
        <v>62.4934935661479</v>
      </c>
    </row>
    <row r="78" spans="1:20">
      <c r="A78" s="1" t="s">
        <v>127</v>
      </c>
      <c r="B78">
        <v>23831</v>
      </c>
      <c r="C78">
        <v>835946</v>
      </c>
      <c r="D78">
        <v>20450</v>
      </c>
      <c r="E78">
        <v>816171</v>
      </c>
      <c r="F78" s="2">
        <v>0.148627</v>
      </c>
      <c r="G78">
        <v>374099</v>
      </c>
      <c r="H78" s="2">
        <v>3.95747</v>
      </c>
      <c r="I78">
        <v>373764</v>
      </c>
      <c r="J78">
        <v>0.32506</v>
      </c>
      <c r="K78">
        <v>394</v>
      </c>
      <c r="L78">
        <v>0</v>
      </c>
      <c r="M78">
        <v>-1</v>
      </c>
      <c r="N78">
        <v>13</v>
      </c>
      <c r="O78" s="2">
        <v>0.119695</v>
      </c>
      <c r="P78">
        <v>23</v>
      </c>
      <c r="Q78">
        <v>600</v>
      </c>
      <c r="S78">
        <f t="shared" si="2"/>
        <v>14.1874029625278</v>
      </c>
      <c r="T78">
        <f t="shared" si="3"/>
        <v>55.288499496379</v>
      </c>
    </row>
    <row r="79" spans="1:20">
      <c r="A79" s="1" t="s">
        <v>128</v>
      </c>
      <c r="B79">
        <v>196591</v>
      </c>
      <c r="C79">
        <v>950327</v>
      </c>
      <c r="D79">
        <v>46100</v>
      </c>
      <c r="E79">
        <v>600305</v>
      </c>
      <c r="F79" s="2">
        <v>0.11948</v>
      </c>
      <c r="G79">
        <v>281479</v>
      </c>
      <c r="H79" s="2">
        <v>1.46787</v>
      </c>
      <c r="I79">
        <v>281261</v>
      </c>
      <c r="J79">
        <v>0.217941</v>
      </c>
      <c r="K79">
        <v>499</v>
      </c>
      <c r="L79">
        <v>0</v>
      </c>
      <c r="M79">
        <v>-1</v>
      </c>
      <c r="N79">
        <v>7</v>
      </c>
      <c r="O79" s="2">
        <v>0.093502</v>
      </c>
      <c r="P79">
        <v>13</v>
      </c>
      <c r="Q79">
        <v>600</v>
      </c>
      <c r="S79">
        <f t="shared" si="2"/>
        <v>76.550299861133</v>
      </c>
      <c r="T79">
        <f t="shared" si="3"/>
        <v>70.4037662825533</v>
      </c>
    </row>
    <row r="80" spans="1:20">
      <c r="A80" s="1" t="s">
        <v>129</v>
      </c>
      <c r="B80">
        <v>34</v>
      </c>
      <c r="C80">
        <v>78</v>
      </c>
      <c r="D80">
        <v>13</v>
      </c>
      <c r="E80">
        <v>33</v>
      </c>
      <c r="F80" s="2">
        <v>8e-6</v>
      </c>
      <c r="G80">
        <v>14</v>
      </c>
      <c r="H80" s="2">
        <v>1.8e-5</v>
      </c>
      <c r="I80">
        <v>14</v>
      </c>
      <c r="J80" s="2">
        <v>0.005032</v>
      </c>
      <c r="K80">
        <v>7</v>
      </c>
      <c r="L80">
        <v>0</v>
      </c>
      <c r="M80">
        <v>0.003396</v>
      </c>
      <c r="N80">
        <v>4</v>
      </c>
      <c r="O80" s="2">
        <v>9e-6</v>
      </c>
      <c r="P80">
        <v>4</v>
      </c>
      <c r="Q80">
        <v>0.018054</v>
      </c>
      <c r="S80">
        <f t="shared" si="2"/>
        <v>61.7647058823529</v>
      </c>
      <c r="T80">
        <f t="shared" si="3"/>
        <v>82.051282051282</v>
      </c>
    </row>
    <row r="81" spans="1:20">
      <c r="A81" s="1" t="s">
        <v>131</v>
      </c>
      <c r="B81">
        <v>70068</v>
      </c>
      <c r="C81">
        <v>358647</v>
      </c>
      <c r="D81">
        <v>25016</v>
      </c>
      <c r="E81">
        <v>292909</v>
      </c>
      <c r="F81">
        <v>0.053317</v>
      </c>
      <c r="G81">
        <v>71830</v>
      </c>
      <c r="H81">
        <v>0.584538</v>
      </c>
      <c r="I81">
        <v>71516</v>
      </c>
      <c r="J81">
        <v>0.202878</v>
      </c>
      <c r="K81">
        <v>451</v>
      </c>
      <c r="L81">
        <v>0</v>
      </c>
      <c r="M81">
        <v>-1</v>
      </c>
      <c r="N81">
        <v>4</v>
      </c>
      <c r="O81">
        <v>0.039956</v>
      </c>
      <c r="P81">
        <v>13</v>
      </c>
      <c r="Q81">
        <v>600</v>
      </c>
      <c r="S81">
        <f t="shared" si="2"/>
        <v>64.2975395330251</v>
      </c>
      <c r="T81">
        <f t="shared" si="3"/>
        <v>80.0595014038874</v>
      </c>
    </row>
    <row r="82" spans="1:20">
      <c r="A82" s="1" t="s">
        <v>132</v>
      </c>
      <c r="B82">
        <v>404719</v>
      </c>
      <c r="C82">
        <v>713319</v>
      </c>
      <c r="D82">
        <v>96749</v>
      </c>
      <c r="E82">
        <v>405349</v>
      </c>
      <c r="F82" s="2">
        <v>0.097698</v>
      </c>
      <c r="G82">
        <v>49436</v>
      </c>
      <c r="H82" s="2">
        <v>0.542261</v>
      </c>
      <c r="I82">
        <v>48883</v>
      </c>
      <c r="J82">
        <v>0.145068</v>
      </c>
      <c r="K82">
        <v>432</v>
      </c>
      <c r="L82">
        <v>0</v>
      </c>
      <c r="M82">
        <v>-1</v>
      </c>
      <c r="N82">
        <v>2</v>
      </c>
      <c r="O82" s="2">
        <v>0.065842</v>
      </c>
      <c r="P82">
        <v>3</v>
      </c>
      <c r="Q82">
        <v>600</v>
      </c>
      <c r="S82">
        <f t="shared" si="2"/>
        <v>76.0947719281773</v>
      </c>
      <c r="T82">
        <f t="shared" si="3"/>
        <v>93.1471052923026</v>
      </c>
    </row>
    <row r="83" spans="1:20">
      <c r="A83" s="1" t="s">
        <v>133</v>
      </c>
      <c r="B83">
        <v>889</v>
      </c>
      <c r="C83">
        <v>2914</v>
      </c>
      <c r="D83">
        <v>326</v>
      </c>
      <c r="E83">
        <v>1765</v>
      </c>
      <c r="F83" s="2">
        <v>0.000268</v>
      </c>
      <c r="G83">
        <v>396</v>
      </c>
      <c r="H83">
        <v>0.001123</v>
      </c>
      <c r="I83">
        <v>101</v>
      </c>
      <c r="J83">
        <v>0.035776</v>
      </c>
      <c r="K83">
        <v>104</v>
      </c>
      <c r="L83">
        <v>0</v>
      </c>
      <c r="M83">
        <v>0.002258</v>
      </c>
      <c r="N83">
        <v>5</v>
      </c>
      <c r="O83" s="2">
        <v>0.000179</v>
      </c>
      <c r="P83">
        <v>6</v>
      </c>
      <c r="Q83">
        <v>0.041417</v>
      </c>
      <c r="S83">
        <f t="shared" si="2"/>
        <v>63.3295838020248</v>
      </c>
      <c r="T83">
        <f t="shared" si="3"/>
        <v>96.5339739190117</v>
      </c>
    </row>
    <row r="84" spans="1:20">
      <c r="A84" s="1" t="s">
        <v>134</v>
      </c>
      <c r="B84">
        <v>26475</v>
      </c>
      <c r="C84">
        <v>53381</v>
      </c>
      <c r="D84">
        <v>2578</v>
      </c>
      <c r="E84">
        <v>14068</v>
      </c>
      <c r="F84" s="2">
        <v>0.003073</v>
      </c>
      <c r="G84">
        <v>7621</v>
      </c>
      <c r="H84" s="2">
        <v>0.018285</v>
      </c>
      <c r="I84">
        <v>7529</v>
      </c>
      <c r="J84">
        <v>0.159969</v>
      </c>
      <c r="K84">
        <v>3155</v>
      </c>
      <c r="L84">
        <v>0</v>
      </c>
      <c r="M84">
        <v>-1</v>
      </c>
      <c r="N84">
        <v>4</v>
      </c>
      <c r="O84" s="2">
        <v>0.002624</v>
      </c>
      <c r="P84">
        <v>7</v>
      </c>
      <c r="Q84">
        <v>600</v>
      </c>
      <c r="S84">
        <f t="shared" si="2"/>
        <v>90.2625118035883</v>
      </c>
      <c r="T84">
        <f t="shared" si="3"/>
        <v>85.8957306906952</v>
      </c>
    </row>
    <row r="85" spans="1:20">
      <c r="A85" s="1" t="s">
        <v>135</v>
      </c>
      <c r="B85">
        <v>40164</v>
      </c>
      <c r="C85">
        <v>85123</v>
      </c>
      <c r="D85">
        <v>4721</v>
      </c>
      <c r="E85">
        <v>26671</v>
      </c>
      <c r="F85" s="2">
        <v>0.006097</v>
      </c>
      <c r="G85">
        <v>14594</v>
      </c>
      <c r="H85" s="2">
        <v>0.052565</v>
      </c>
      <c r="I85">
        <v>14473</v>
      </c>
      <c r="J85">
        <v>0.181868</v>
      </c>
      <c r="K85">
        <v>2005</v>
      </c>
      <c r="L85">
        <v>0</v>
      </c>
      <c r="M85">
        <v>-1</v>
      </c>
      <c r="N85">
        <v>4</v>
      </c>
      <c r="O85" s="2">
        <v>0.005255</v>
      </c>
      <c r="P85">
        <v>7</v>
      </c>
      <c r="Q85">
        <v>600</v>
      </c>
      <c r="S85">
        <f t="shared" si="2"/>
        <v>88.2456926600936</v>
      </c>
      <c r="T85">
        <f t="shared" si="3"/>
        <v>82.9975447293916</v>
      </c>
    </row>
    <row r="86" spans="1:20">
      <c r="A86" s="1" t="s">
        <v>136</v>
      </c>
      <c r="B86">
        <v>62561</v>
      </c>
      <c r="C86">
        <v>147878</v>
      </c>
      <c r="D86">
        <v>24443</v>
      </c>
      <c r="E86">
        <v>100454</v>
      </c>
      <c r="F86" s="2">
        <v>0.020201</v>
      </c>
      <c r="G86">
        <v>379</v>
      </c>
      <c r="H86" s="2">
        <v>0.034148</v>
      </c>
      <c r="I86">
        <v>90</v>
      </c>
      <c r="J86">
        <v>0.024509</v>
      </c>
      <c r="K86">
        <v>118</v>
      </c>
      <c r="L86">
        <v>0</v>
      </c>
      <c r="M86">
        <v>0.001967</v>
      </c>
      <c r="N86">
        <v>3</v>
      </c>
      <c r="O86" s="2">
        <v>0.0121</v>
      </c>
      <c r="P86">
        <v>3</v>
      </c>
      <c r="Q86">
        <v>0.152724</v>
      </c>
      <c r="S86">
        <f t="shared" si="2"/>
        <v>60.9293329710203</v>
      </c>
      <c r="T86">
        <f t="shared" si="3"/>
        <v>99.939139020003</v>
      </c>
    </row>
    <row r="87" spans="1:20">
      <c r="A87" s="1" t="s">
        <v>137</v>
      </c>
      <c r="B87">
        <v>190914</v>
      </c>
      <c r="C87">
        <v>607610</v>
      </c>
      <c r="D87">
        <v>47992</v>
      </c>
      <c r="E87">
        <v>336097</v>
      </c>
      <c r="F87" s="2">
        <v>0.080137</v>
      </c>
      <c r="G87">
        <v>69189</v>
      </c>
      <c r="H87" s="2">
        <v>0.355879</v>
      </c>
      <c r="I87">
        <v>68890</v>
      </c>
      <c r="J87">
        <v>0.1224</v>
      </c>
      <c r="K87">
        <v>480</v>
      </c>
      <c r="L87">
        <v>0</v>
      </c>
      <c r="M87">
        <v>-1</v>
      </c>
      <c r="N87">
        <v>5</v>
      </c>
      <c r="O87" s="2">
        <v>0.065751</v>
      </c>
      <c r="P87">
        <v>9</v>
      </c>
      <c r="Q87">
        <v>600</v>
      </c>
      <c r="S87">
        <f t="shared" si="2"/>
        <v>74.8619797395686</v>
      </c>
      <c r="T87">
        <f t="shared" si="3"/>
        <v>88.6621352512302</v>
      </c>
    </row>
    <row r="88" spans="1:20">
      <c r="A88" s="1" t="s">
        <v>138</v>
      </c>
      <c r="B88">
        <v>2113</v>
      </c>
      <c r="C88">
        <v>6632</v>
      </c>
      <c r="D88">
        <v>114</v>
      </c>
      <c r="E88">
        <v>1167</v>
      </c>
      <c r="F88">
        <v>0.000243</v>
      </c>
      <c r="G88">
        <v>680</v>
      </c>
      <c r="H88">
        <v>0.001357</v>
      </c>
      <c r="I88">
        <v>680</v>
      </c>
      <c r="J88">
        <v>0.096223</v>
      </c>
      <c r="K88">
        <v>550</v>
      </c>
      <c r="L88">
        <v>61</v>
      </c>
      <c r="M88">
        <v>0.057523</v>
      </c>
      <c r="N88">
        <v>12</v>
      </c>
      <c r="O88">
        <v>0.000444</v>
      </c>
      <c r="P88">
        <v>12</v>
      </c>
      <c r="Q88">
        <v>0.16028</v>
      </c>
      <c r="S88">
        <f t="shared" si="2"/>
        <v>94.6048272598202</v>
      </c>
      <c r="T88">
        <f t="shared" si="3"/>
        <v>89.7466827503016</v>
      </c>
    </row>
    <row r="89" spans="1:20">
      <c r="A89" s="1" t="s">
        <v>139</v>
      </c>
      <c r="B89">
        <v>7476</v>
      </c>
      <c r="C89">
        <v>56943</v>
      </c>
      <c r="D89">
        <v>896</v>
      </c>
      <c r="E89">
        <v>34917</v>
      </c>
      <c r="F89" s="2">
        <v>0.005303</v>
      </c>
      <c r="G89">
        <v>29999</v>
      </c>
      <c r="H89" s="2">
        <v>0.277907</v>
      </c>
      <c r="I89">
        <v>29937</v>
      </c>
      <c r="J89">
        <v>2.38985</v>
      </c>
      <c r="K89">
        <v>4388</v>
      </c>
      <c r="L89">
        <v>0</v>
      </c>
      <c r="M89">
        <v>-1</v>
      </c>
      <c r="N89">
        <v>19</v>
      </c>
      <c r="O89" s="2">
        <v>0.005428</v>
      </c>
      <c r="P89">
        <v>38</v>
      </c>
      <c r="Q89">
        <v>600</v>
      </c>
      <c r="S89">
        <f t="shared" si="2"/>
        <v>88.0149812734082</v>
      </c>
      <c r="T89">
        <f t="shared" si="3"/>
        <v>47.4263737421632</v>
      </c>
    </row>
    <row r="90" spans="1:20">
      <c r="A90" s="1" t="s">
        <v>140</v>
      </c>
      <c r="B90">
        <v>3031</v>
      </c>
      <c r="C90">
        <v>6474</v>
      </c>
      <c r="D90">
        <v>30</v>
      </c>
      <c r="E90">
        <v>435</v>
      </c>
      <c r="F90" s="2">
        <v>8.5e-5</v>
      </c>
      <c r="G90">
        <v>435</v>
      </c>
      <c r="H90">
        <v>0.000711</v>
      </c>
      <c r="I90">
        <v>435</v>
      </c>
      <c r="J90" s="2">
        <v>8e-6</v>
      </c>
      <c r="K90">
        <v>11081</v>
      </c>
      <c r="L90">
        <v>0</v>
      </c>
      <c r="M90">
        <v>-1</v>
      </c>
      <c r="N90">
        <v>22</v>
      </c>
      <c r="O90" s="2">
        <v>0.000241</v>
      </c>
      <c r="P90">
        <v>23</v>
      </c>
      <c r="Q90">
        <v>600</v>
      </c>
      <c r="S90">
        <f t="shared" si="2"/>
        <v>99.010227647641</v>
      </c>
      <c r="T90">
        <f t="shared" si="3"/>
        <v>93.2808155699722</v>
      </c>
    </row>
    <row r="91" spans="1:20">
      <c r="A91" s="1" t="s">
        <v>141</v>
      </c>
      <c r="B91">
        <v>1299</v>
      </c>
      <c r="C91">
        <v>2773</v>
      </c>
      <c r="D91">
        <v>21</v>
      </c>
      <c r="E91">
        <v>174</v>
      </c>
      <c r="F91" s="2">
        <v>6.2e-5</v>
      </c>
      <c r="G91">
        <v>170</v>
      </c>
      <c r="H91" s="2">
        <v>0.000192</v>
      </c>
      <c r="I91">
        <v>170</v>
      </c>
      <c r="J91">
        <v>0.0093</v>
      </c>
      <c r="K91">
        <v>163</v>
      </c>
      <c r="L91">
        <v>0</v>
      </c>
      <c r="M91">
        <v>0.006627</v>
      </c>
      <c r="N91">
        <v>16</v>
      </c>
      <c r="O91" s="2">
        <v>0.000175</v>
      </c>
      <c r="P91">
        <v>16</v>
      </c>
      <c r="Q91">
        <v>0.018598</v>
      </c>
      <c r="S91">
        <f t="shared" si="2"/>
        <v>98.3833718244804</v>
      </c>
      <c r="T91">
        <f t="shared" si="3"/>
        <v>93.869455463397</v>
      </c>
    </row>
    <row r="92" spans="1:20">
      <c r="A92" s="1" t="s">
        <v>142</v>
      </c>
      <c r="B92">
        <v>11358</v>
      </c>
      <c r="C92">
        <v>47606</v>
      </c>
      <c r="D92">
        <v>308</v>
      </c>
      <c r="E92">
        <v>5859</v>
      </c>
      <c r="F92" s="2">
        <v>0.000906</v>
      </c>
      <c r="G92">
        <v>5835</v>
      </c>
      <c r="H92" s="2">
        <v>0.0181</v>
      </c>
      <c r="I92">
        <v>5835</v>
      </c>
      <c r="J92">
        <v>0.574299</v>
      </c>
      <c r="K92">
        <v>2489</v>
      </c>
      <c r="L92">
        <v>680</v>
      </c>
      <c r="M92">
        <v>14.4871</v>
      </c>
      <c r="N92">
        <v>32</v>
      </c>
      <c r="O92" s="2">
        <v>0.001965</v>
      </c>
      <c r="P92">
        <v>33</v>
      </c>
      <c r="Q92">
        <v>15.2952</v>
      </c>
      <c r="S92">
        <f t="shared" si="2"/>
        <v>97.2882549744673</v>
      </c>
      <c r="T92">
        <f t="shared" si="3"/>
        <v>87.7431416208041</v>
      </c>
    </row>
    <row r="93" spans="1:20">
      <c r="A93" s="1" t="s">
        <v>143</v>
      </c>
      <c r="B93">
        <v>643</v>
      </c>
      <c r="C93">
        <v>2280</v>
      </c>
      <c r="D93">
        <v>180</v>
      </c>
      <c r="E93">
        <v>1235</v>
      </c>
      <c r="F93" s="2">
        <v>0.000184</v>
      </c>
      <c r="G93">
        <v>506</v>
      </c>
      <c r="H93" s="2">
        <v>0.001128</v>
      </c>
      <c r="I93">
        <v>406</v>
      </c>
      <c r="J93">
        <v>0.064467</v>
      </c>
      <c r="K93">
        <v>407</v>
      </c>
      <c r="L93">
        <v>83</v>
      </c>
      <c r="M93">
        <v>0.028413</v>
      </c>
      <c r="N93">
        <v>6</v>
      </c>
      <c r="O93" s="2">
        <v>0.000139</v>
      </c>
      <c r="P93">
        <v>8</v>
      </c>
      <c r="Q93">
        <v>0.096504</v>
      </c>
      <c r="S93">
        <f t="shared" si="2"/>
        <v>72.0062208398134</v>
      </c>
      <c r="T93">
        <f t="shared" si="3"/>
        <v>82.1929824561404</v>
      </c>
    </row>
    <row r="94" spans="1:20">
      <c r="A94" s="1" t="s">
        <v>144</v>
      </c>
      <c r="B94">
        <v>121422</v>
      </c>
      <c r="C94">
        <v>334419</v>
      </c>
      <c r="D94">
        <v>631</v>
      </c>
      <c r="E94">
        <v>19076</v>
      </c>
      <c r="F94" s="2">
        <v>0.005707</v>
      </c>
      <c r="G94">
        <v>19071</v>
      </c>
      <c r="H94" s="2">
        <v>0.071478</v>
      </c>
      <c r="I94">
        <v>19071</v>
      </c>
      <c r="J94">
        <v>3.05015</v>
      </c>
      <c r="K94">
        <v>9546</v>
      </c>
      <c r="L94">
        <v>0</v>
      </c>
      <c r="M94">
        <v>-1</v>
      </c>
      <c r="N94">
        <v>31</v>
      </c>
      <c r="O94" s="2">
        <v>0.020865</v>
      </c>
      <c r="P94">
        <v>38</v>
      </c>
      <c r="Q94">
        <v>600</v>
      </c>
      <c r="S94">
        <f t="shared" si="2"/>
        <v>99.4803248175784</v>
      </c>
      <c r="T94">
        <f t="shared" si="3"/>
        <v>94.2972737793008</v>
      </c>
    </row>
    <row r="95" spans="1:20">
      <c r="A95" s="1" t="s">
        <v>145</v>
      </c>
      <c r="B95">
        <v>4767</v>
      </c>
      <c r="C95">
        <v>37375</v>
      </c>
      <c r="D95">
        <v>1826</v>
      </c>
      <c r="E95">
        <v>28875</v>
      </c>
      <c r="F95">
        <v>0.004337</v>
      </c>
      <c r="G95">
        <v>12295</v>
      </c>
      <c r="H95">
        <v>0.070753</v>
      </c>
      <c r="I95">
        <v>11986</v>
      </c>
      <c r="J95">
        <v>0.182908</v>
      </c>
      <c r="K95">
        <v>1840</v>
      </c>
      <c r="L95">
        <v>0</v>
      </c>
      <c r="M95">
        <v>-1</v>
      </c>
      <c r="N95">
        <v>9</v>
      </c>
      <c r="O95" s="2">
        <v>0.002979</v>
      </c>
      <c r="P95">
        <v>12</v>
      </c>
      <c r="Q95">
        <v>600</v>
      </c>
      <c r="S95">
        <f t="shared" si="2"/>
        <v>61.6949863645899</v>
      </c>
      <c r="T95">
        <f t="shared" si="3"/>
        <v>67.9304347826087</v>
      </c>
    </row>
    <row r="96" spans="1:20">
      <c r="A96" s="1" t="s">
        <v>146</v>
      </c>
      <c r="B96">
        <v>16062</v>
      </c>
      <c r="C96">
        <v>25593</v>
      </c>
      <c r="D96">
        <v>62</v>
      </c>
      <c r="E96">
        <v>934</v>
      </c>
      <c r="F96" s="2">
        <v>0.000395</v>
      </c>
      <c r="G96">
        <v>934</v>
      </c>
      <c r="H96" s="2">
        <v>0.001443</v>
      </c>
      <c r="I96">
        <v>934</v>
      </c>
      <c r="J96">
        <v>0.071947</v>
      </c>
      <c r="K96">
        <v>1316</v>
      </c>
      <c r="L96">
        <v>717</v>
      </c>
      <c r="M96">
        <v>2.65297</v>
      </c>
      <c r="N96">
        <v>18</v>
      </c>
      <c r="O96" s="2">
        <v>0.00122</v>
      </c>
      <c r="P96">
        <v>18</v>
      </c>
      <c r="Q96">
        <v>2.74529</v>
      </c>
      <c r="S96">
        <f t="shared" si="2"/>
        <v>99.6139957664052</v>
      </c>
      <c r="T96">
        <f t="shared" si="3"/>
        <v>96.3505646075099</v>
      </c>
    </row>
    <row r="97" spans="17:17">
      <c r="Q97">
        <f>COUNT(Q2:Q96)-COUNTIF(Q2:Q96,"=600")</f>
        <v>61</v>
      </c>
    </row>
  </sheetData>
  <sortState ref="A2:Q96">
    <sortCondition ref="A2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7"/>
  <sheetViews>
    <sheetView topLeftCell="J49" workbookViewId="0">
      <selection activeCell="S49" sqref="S$1:T$1048576"/>
    </sheetView>
  </sheetViews>
  <sheetFormatPr defaultColWidth="9" defaultRowHeight="14"/>
  <cols>
    <col min="1" max="1" width="25.4545454545455" style="1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27272727272727" customWidth="1"/>
    <col min="19" max="20" width="12.8181818181818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17</v>
      </c>
      <c r="T1" t="s">
        <v>18</v>
      </c>
    </row>
    <row r="2" spans="1:20">
      <c r="A2" s="1" t="s">
        <v>19</v>
      </c>
      <c r="B2">
        <v>453</v>
      </c>
      <c r="C2">
        <v>2025</v>
      </c>
      <c r="D2">
        <v>181</v>
      </c>
      <c r="E2">
        <v>1122</v>
      </c>
      <c r="F2">
        <v>0.000168</v>
      </c>
      <c r="G2">
        <v>439</v>
      </c>
      <c r="H2">
        <v>0.001005</v>
      </c>
      <c r="I2">
        <v>328</v>
      </c>
      <c r="J2">
        <v>0.049731</v>
      </c>
      <c r="K2">
        <v>491</v>
      </c>
      <c r="L2">
        <v>75</v>
      </c>
      <c r="M2">
        <v>0.008702</v>
      </c>
      <c r="N2">
        <v>6</v>
      </c>
      <c r="O2">
        <v>0.000117</v>
      </c>
      <c r="P2">
        <v>7</v>
      </c>
      <c r="Q2">
        <v>0.078939</v>
      </c>
      <c r="S2">
        <f t="shared" ref="S2:S65" si="0">(1-D2/B2)*100</f>
        <v>60.0441501103753</v>
      </c>
      <c r="T2">
        <f t="shared" ref="T2:T65" si="1">(1-I2/C2)*100</f>
        <v>83.8024691358025</v>
      </c>
    </row>
    <row r="3" spans="1:20">
      <c r="A3" s="1" t="s">
        <v>20</v>
      </c>
      <c r="B3">
        <v>516</v>
      </c>
      <c r="C3">
        <v>1188</v>
      </c>
      <c r="D3">
        <v>11</v>
      </c>
      <c r="E3">
        <v>55</v>
      </c>
      <c r="F3">
        <v>0.000109</v>
      </c>
      <c r="G3">
        <v>55</v>
      </c>
      <c r="H3">
        <v>0.000149</v>
      </c>
      <c r="I3">
        <v>55</v>
      </c>
      <c r="J3" s="4" t="s">
        <v>73</v>
      </c>
      <c r="K3">
        <v>2</v>
      </c>
      <c r="L3">
        <v>0</v>
      </c>
      <c r="M3">
        <v>0.002888</v>
      </c>
      <c r="N3">
        <v>10</v>
      </c>
      <c r="O3">
        <v>0.000325</v>
      </c>
      <c r="P3">
        <v>10</v>
      </c>
      <c r="Q3">
        <v>0.012832</v>
      </c>
      <c r="S3">
        <f t="shared" si="0"/>
        <v>97.8682170542636</v>
      </c>
      <c r="T3">
        <f t="shared" si="1"/>
        <v>95.3703703703704</v>
      </c>
    </row>
    <row r="4" spans="1:20">
      <c r="A4" s="1" t="s">
        <v>22</v>
      </c>
      <c r="B4">
        <v>7393</v>
      </c>
      <c r="C4">
        <v>25569</v>
      </c>
      <c r="D4">
        <v>3997</v>
      </c>
      <c r="E4">
        <v>20948</v>
      </c>
      <c r="F4">
        <v>0.003294</v>
      </c>
      <c r="G4">
        <v>1373</v>
      </c>
      <c r="H4">
        <v>0.016765</v>
      </c>
      <c r="I4">
        <v>1036</v>
      </c>
      <c r="J4">
        <v>0.071196</v>
      </c>
      <c r="K4">
        <v>542</v>
      </c>
      <c r="L4">
        <v>154</v>
      </c>
      <c r="M4">
        <v>0.048834</v>
      </c>
      <c r="N4">
        <v>3</v>
      </c>
      <c r="O4">
        <v>0.001772</v>
      </c>
      <c r="P4">
        <v>4</v>
      </c>
      <c r="Q4">
        <v>0.297612</v>
      </c>
      <c r="S4">
        <f t="shared" si="0"/>
        <v>45.9353442445557</v>
      </c>
      <c r="T4">
        <f t="shared" si="1"/>
        <v>95.9482185458954</v>
      </c>
    </row>
    <row r="5" spans="1:20">
      <c r="A5" s="1" t="s">
        <v>23</v>
      </c>
      <c r="B5">
        <v>1458</v>
      </c>
      <c r="C5">
        <v>1948</v>
      </c>
      <c r="D5">
        <v>83</v>
      </c>
      <c r="E5">
        <v>170</v>
      </c>
      <c r="F5" s="4" t="s">
        <v>158</v>
      </c>
      <c r="G5">
        <v>36</v>
      </c>
      <c r="H5" s="4" t="s">
        <v>159</v>
      </c>
      <c r="I5">
        <v>29</v>
      </c>
      <c r="J5">
        <v>0.013052</v>
      </c>
      <c r="K5">
        <v>33</v>
      </c>
      <c r="L5">
        <v>1</v>
      </c>
      <c r="M5">
        <v>0.053976</v>
      </c>
      <c r="N5">
        <v>4</v>
      </c>
      <c r="O5">
        <v>0.000138</v>
      </c>
      <c r="P5">
        <v>4</v>
      </c>
      <c r="Q5">
        <v>0.068727</v>
      </c>
      <c r="S5">
        <f t="shared" si="0"/>
        <v>94.3072702331962</v>
      </c>
      <c r="T5">
        <f t="shared" si="1"/>
        <v>98.5112936344969</v>
      </c>
    </row>
    <row r="6" spans="1:20">
      <c r="A6" s="1" t="s">
        <v>26</v>
      </c>
      <c r="B6">
        <v>17903</v>
      </c>
      <c r="C6">
        <v>196972</v>
      </c>
      <c r="D6">
        <v>2565</v>
      </c>
      <c r="E6">
        <v>72450</v>
      </c>
      <c r="F6" s="2">
        <v>0.013517</v>
      </c>
      <c r="G6">
        <v>46227</v>
      </c>
      <c r="H6" s="2">
        <v>0.28337</v>
      </c>
      <c r="I6">
        <v>46213</v>
      </c>
      <c r="J6">
        <v>0.888746</v>
      </c>
      <c r="K6">
        <v>921</v>
      </c>
      <c r="L6">
        <v>0</v>
      </c>
      <c r="M6">
        <v>-1</v>
      </c>
      <c r="N6">
        <v>29</v>
      </c>
      <c r="O6" s="2">
        <v>0.020339</v>
      </c>
      <c r="P6">
        <v>39</v>
      </c>
      <c r="Q6">
        <v>600</v>
      </c>
      <c r="S6">
        <f t="shared" si="0"/>
        <v>85.672792269452</v>
      </c>
      <c r="T6">
        <f t="shared" si="1"/>
        <v>76.5382897061511</v>
      </c>
    </row>
    <row r="7" spans="1:20">
      <c r="A7" s="1" t="s">
        <v>27</v>
      </c>
      <c r="B7">
        <v>227320</v>
      </c>
      <c r="C7">
        <v>814134</v>
      </c>
      <c r="D7">
        <v>4397</v>
      </c>
      <c r="E7">
        <v>91819</v>
      </c>
      <c r="F7">
        <v>0.023079</v>
      </c>
      <c r="G7">
        <v>90128</v>
      </c>
      <c r="H7">
        <v>0.240745</v>
      </c>
      <c r="I7">
        <v>90127</v>
      </c>
      <c r="J7">
        <v>1.12607</v>
      </c>
      <c r="K7">
        <v>904</v>
      </c>
      <c r="L7">
        <v>0</v>
      </c>
      <c r="M7">
        <v>-1</v>
      </c>
      <c r="N7">
        <v>25</v>
      </c>
      <c r="O7">
        <v>0.067786</v>
      </c>
      <c r="P7">
        <v>36</v>
      </c>
      <c r="Q7">
        <v>600</v>
      </c>
      <c r="S7">
        <f t="shared" si="0"/>
        <v>98.0657223297554</v>
      </c>
      <c r="T7">
        <f t="shared" si="1"/>
        <v>88.9297093598842</v>
      </c>
    </row>
    <row r="8" spans="1:20">
      <c r="A8" s="1" t="s">
        <v>28</v>
      </c>
      <c r="B8">
        <v>21363</v>
      </c>
      <c r="C8">
        <v>91286</v>
      </c>
      <c r="D8">
        <v>1883</v>
      </c>
      <c r="E8">
        <v>18104</v>
      </c>
      <c r="F8">
        <v>0.00438</v>
      </c>
      <c r="G8">
        <v>10003</v>
      </c>
      <c r="H8">
        <v>0.024466</v>
      </c>
      <c r="I8">
        <v>9989</v>
      </c>
      <c r="J8">
        <v>0.193271</v>
      </c>
      <c r="K8">
        <v>2909</v>
      </c>
      <c r="L8">
        <v>0</v>
      </c>
      <c r="M8">
        <v>-1</v>
      </c>
      <c r="N8">
        <v>11</v>
      </c>
      <c r="O8">
        <v>0.007427</v>
      </c>
      <c r="P8">
        <v>13</v>
      </c>
      <c r="Q8">
        <v>600</v>
      </c>
      <c r="S8">
        <f t="shared" si="0"/>
        <v>91.1856948930394</v>
      </c>
      <c r="T8">
        <f t="shared" si="1"/>
        <v>89.0574677387551</v>
      </c>
    </row>
    <row r="9" spans="1:20">
      <c r="A9" s="1" t="s">
        <v>29</v>
      </c>
      <c r="B9">
        <v>1882</v>
      </c>
      <c r="C9">
        <v>1740</v>
      </c>
      <c r="D9">
        <v>583</v>
      </c>
      <c r="E9">
        <v>524</v>
      </c>
      <c r="F9">
        <v>0.000136</v>
      </c>
      <c r="G9">
        <v>20</v>
      </c>
      <c r="H9">
        <v>0.000117</v>
      </c>
      <c r="I9">
        <v>0</v>
      </c>
      <c r="J9">
        <v>0.009562</v>
      </c>
      <c r="K9">
        <v>0</v>
      </c>
      <c r="L9">
        <v>0</v>
      </c>
      <c r="M9">
        <v>0.001474</v>
      </c>
      <c r="N9">
        <v>2</v>
      </c>
      <c r="O9">
        <v>0.000127</v>
      </c>
      <c r="P9">
        <v>2</v>
      </c>
      <c r="Q9">
        <v>0.012935</v>
      </c>
      <c r="S9">
        <f t="shared" si="0"/>
        <v>69.0223166843783</v>
      </c>
      <c r="T9">
        <f t="shared" si="1"/>
        <v>100</v>
      </c>
    </row>
    <row r="10" spans="1:20">
      <c r="A10" s="1" t="s">
        <v>32</v>
      </c>
      <c r="B10">
        <v>226413</v>
      </c>
      <c r="C10">
        <v>716460</v>
      </c>
      <c r="D10">
        <v>3357</v>
      </c>
      <c r="E10">
        <v>57594</v>
      </c>
      <c r="F10">
        <v>0.018053</v>
      </c>
      <c r="G10">
        <v>56032</v>
      </c>
      <c r="H10">
        <v>0.125032</v>
      </c>
      <c r="I10">
        <v>56032</v>
      </c>
      <c r="J10">
        <v>0.785148</v>
      </c>
      <c r="K10">
        <v>972</v>
      </c>
      <c r="L10">
        <v>0</v>
      </c>
      <c r="M10">
        <v>-1</v>
      </c>
      <c r="N10">
        <v>20</v>
      </c>
      <c r="O10">
        <v>0.059459</v>
      </c>
      <c r="P10">
        <v>29</v>
      </c>
      <c r="Q10">
        <v>600</v>
      </c>
      <c r="S10">
        <f t="shared" si="0"/>
        <v>98.5173112851294</v>
      </c>
      <c r="T10">
        <f t="shared" si="1"/>
        <v>92.1793261312565</v>
      </c>
    </row>
    <row r="11" spans="1:20">
      <c r="A11" s="1" t="s">
        <v>33</v>
      </c>
      <c r="B11">
        <v>5094</v>
      </c>
      <c r="C11">
        <v>7515</v>
      </c>
      <c r="D11">
        <v>492</v>
      </c>
      <c r="E11">
        <v>1777</v>
      </c>
      <c r="F11" s="2">
        <v>0.000364</v>
      </c>
      <c r="G11">
        <v>347</v>
      </c>
      <c r="H11" s="2">
        <v>0.000822</v>
      </c>
      <c r="I11">
        <v>218</v>
      </c>
      <c r="J11">
        <v>0.062752</v>
      </c>
      <c r="K11">
        <v>446</v>
      </c>
      <c r="L11">
        <v>38</v>
      </c>
      <c r="M11">
        <v>0.006539</v>
      </c>
      <c r="N11">
        <v>4</v>
      </c>
      <c r="O11" s="2">
        <v>0.000384</v>
      </c>
      <c r="P11">
        <v>5</v>
      </c>
      <c r="Q11">
        <v>0.075759</v>
      </c>
      <c r="S11">
        <f t="shared" si="0"/>
        <v>90.3415783274441</v>
      </c>
      <c r="T11">
        <f t="shared" si="1"/>
        <v>97.0991350632069</v>
      </c>
    </row>
    <row r="12" spans="1:20">
      <c r="A12" s="1" t="s">
        <v>34</v>
      </c>
      <c r="B12">
        <v>4158</v>
      </c>
      <c r="C12">
        <v>13422</v>
      </c>
      <c r="D12">
        <v>123</v>
      </c>
      <c r="E12">
        <v>2406</v>
      </c>
      <c r="F12" s="2">
        <v>0.000395</v>
      </c>
      <c r="G12">
        <v>2406</v>
      </c>
      <c r="H12" s="2">
        <v>0.005183</v>
      </c>
      <c r="I12">
        <v>2406</v>
      </c>
      <c r="J12">
        <v>0.417608</v>
      </c>
      <c r="K12">
        <v>1388</v>
      </c>
      <c r="L12">
        <v>161</v>
      </c>
      <c r="M12">
        <v>1.14257</v>
      </c>
      <c r="N12">
        <v>31</v>
      </c>
      <c r="O12" s="2">
        <v>0.001038</v>
      </c>
      <c r="P12">
        <v>31</v>
      </c>
      <c r="Q12">
        <v>1.60063</v>
      </c>
      <c r="S12">
        <f t="shared" si="0"/>
        <v>97.041847041847</v>
      </c>
      <c r="T12">
        <f t="shared" si="1"/>
        <v>82.0742065265981</v>
      </c>
    </row>
    <row r="13" spans="1:20">
      <c r="A13" s="1" t="s">
        <v>35</v>
      </c>
      <c r="B13">
        <v>11204</v>
      </c>
      <c r="C13">
        <v>117619</v>
      </c>
      <c r="D13">
        <v>239</v>
      </c>
      <c r="E13">
        <v>28441</v>
      </c>
      <c r="F13" s="2">
        <v>0.004594</v>
      </c>
      <c r="G13">
        <v>28441</v>
      </c>
      <c r="H13">
        <v>0.412812</v>
      </c>
      <c r="I13">
        <v>28441</v>
      </c>
      <c r="J13">
        <v>0.000517</v>
      </c>
      <c r="K13">
        <v>1469</v>
      </c>
      <c r="L13">
        <v>0</v>
      </c>
      <c r="M13">
        <v>-1</v>
      </c>
      <c r="N13">
        <v>101</v>
      </c>
      <c r="O13" s="2">
        <v>0.021846</v>
      </c>
      <c r="P13">
        <v>137</v>
      </c>
      <c r="Q13">
        <v>600</v>
      </c>
      <c r="S13">
        <f t="shared" si="0"/>
        <v>97.8668332738308</v>
      </c>
      <c r="T13">
        <f t="shared" si="1"/>
        <v>75.8193829228271</v>
      </c>
    </row>
    <row r="14" spans="1:20">
      <c r="A14" s="1" t="s">
        <v>36</v>
      </c>
      <c r="B14">
        <v>332689</v>
      </c>
      <c r="C14">
        <v>820644</v>
      </c>
      <c r="D14">
        <v>26475</v>
      </c>
      <c r="E14">
        <v>169690</v>
      </c>
      <c r="F14">
        <v>0.061012</v>
      </c>
      <c r="G14">
        <v>33551</v>
      </c>
      <c r="H14">
        <v>0.135016</v>
      </c>
      <c r="I14">
        <v>33459</v>
      </c>
      <c r="J14">
        <v>0.140342</v>
      </c>
      <c r="K14">
        <v>1123</v>
      </c>
      <c r="L14">
        <v>0</v>
      </c>
      <c r="M14">
        <v>-1</v>
      </c>
      <c r="N14">
        <v>7</v>
      </c>
      <c r="O14">
        <v>0.109464</v>
      </c>
      <c r="P14">
        <v>12</v>
      </c>
      <c r="Q14">
        <v>600</v>
      </c>
      <c r="S14">
        <f t="shared" si="0"/>
        <v>92.0421174129592</v>
      </c>
      <c r="T14">
        <f t="shared" si="1"/>
        <v>95.9228362115607</v>
      </c>
    </row>
    <row r="15" spans="1:20">
      <c r="A15" s="1" t="s">
        <v>37</v>
      </c>
      <c r="B15">
        <v>379</v>
      </c>
      <c r="C15">
        <v>914</v>
      </c>
      <c r="D15">
        <v>9</v>
      </c>
      <c r="E15">
        <v>36</v>
      </c>
      <c r="F15" s="2">
        <v>2.2e-5</v>
      </c>
      <c r="G15">
        <v>36</v>
      </c>
      <c r="H15" s="4" t="s">
        <v>24</v>
      </c>
      <c r="I15">
        <v>36</v>
      </c>
      <c r="J15" s="4" t="s">
        <v>25</v>
      </c>
      <c r="K15">
        <v>2</v>
      </c>
      <c r="L15">
        <v>0</v>
      </c>
      <c r="M15">
        <v>0.018687</v>
      </c>
      <c r="N15">
        <v>8</v>
      </c>
      <c r="O15" s="4" t="s">
        <v>96</v>
      </c>
      <c r="P15">
        <v>8</v>
      </c>
      <c r="Q15">
        <v>0.030118</v>
      </c>
      <c r="S15">
        <f t="shared" si="0"/>
        <v>97.6253298153034</v>
      </c>
      <c r="T15">
        <f t="shared" si="1"/>
        <v>96.0612691466083</v>
      </c>
    </row>
    <row r="16" spans="1:20">
      <c r="A16" s="1" t="s">
        <v>38</v>
      </c>
      <c r="B16">
        <v>32430</v>
      </c>
      <c r="C16">
        <v>54397</v>
      </c>
      <c r="D16">
        <v>1542</v>
      </c>
      <c r="E16">
        <v>15930</v>
      </c>
      <c r="F16">
        <v>0.002965</v>
      </c>
      <c r="G16">
        <v>9773</v>
      </c>
      <c r="H16">
        <v>0.025595</v>
      </c>
      <c r="I16">
        <v>9616</v>
      </c>
      <c r="J16">
        <v>0.151651</v>
      </c>
      <c r="K16">
        <v>1848</v>
      </c>
      <c r="L16">
        <v>0</v>
      </c>
      <c r="M16">
        <v>-1</v>
      </c>
      <c r="N16">
        <v>5</v>
      </c>
      <c r="O16">
        <v>0.002665</v>
      </c>
      <c r="P16">
        <v>7</v>
      </c>
      <c r="Q16">
        <v>600</v>
      </c>
      <c r="S16">
        <f t="shared" si="0"/>
        <v>95.2451433857539</v>
      </c>
      <c r="T16">
        <f t="shared" si="1"/>
        <v>82.3225545526408</v>
      </c>
    </row>
    <row r="17" spans="1:20">
      <c r="A17" s="1" t="s">
        <v>39</v>
      </c>
      <c r="B17">
        <v>1133</v>
      </c>
      <c r="C17">
        <v>5451</v>
      </c>
      <c r="D17">
        <v>588</v>
      </c>
      <c r="E17">
        <v>4048</v>
      </c>
      <c r="F17">
        <v>0.000546</v>
      </c>
      <c r="G17">
        <v>776</v>
      </c>
      <c r="H17">
        <v>0.002763</v>
      </c>
      <c r="I17">
        <v>466</v>
      </c>
      <c r="J17">
        <v>0.097368</v>
      </c>
      <c r="K17">
        <v>600</v>
      </c>
      <c r="L17">
        <v>43</v>
      </c>
      <c r="M17">
        <v>0.032891</v>
      </c>
      <c r="N17">
        <v>6</v>
      </c>
      <c r="O17">
        <v>0.000343</v>
      </c>
      <c r="P17">
        <v>7</v>
      </c>
      <c r="Q17">
        <v>0.161703</v>
      </c>
      <c r="S17">
        <f t="shared" si="0"/>
        <v>48.1023830538394</v>
      </c>
      <c r="T17">
        <f t="shared" si="1"/>
        <v>91.4511098880939</v>
      </c>
    </row>
    <row r="18" spans="1:20">
      <c r="A18" s="1" t="s">
        <v>40</v>
      </c>
      <c r="B18">
        <v>33696</v>
      </c>
      <c r="C18">
        <v>180811</v>
      </c>
      <c r="D18">
        <v>7541</v>
      </c>
      <c r="E18">
        <v>118896</v>
      </c>
      <c r="F18">
        <v>0.019708</v>
      </c>
      <c r="G18">
        <v>90403</v>
      </c>
      <c r="H18">
        <v>0.358572</v>
      </c>
      <c r="I18">
        <v>90254</v>
      </c>
      <c r="J18">
        <v>0.218477</v>
      </c>
      <c r="K18">
        <v>551</v>
      </c>
      <c r="L18">
        <v>0</v>
      </c>
      <c r="M18">
        <v>-1</v>
      </c>
      <c r="N18">
        <v>7</v>
      </c>
      <c r="O18">
        <v>0.014195</v>
      </c>
      <c r="P18">
        <v>14</v>
      </c>
      <c r="Q18">
        <v>600</v>
      </c>
      <c r="S18">
        <f t="shared" si="0"/>
        <v>77.6204890788224</v>
      </c>
      <c r="T18">
        <f t="shared" si="1"/>
        <v>50.0837891499964</v>
      </c>
    </row>
    <row r="19" spans="1:20">
      <c r="A19" s="1" t="s">
        <v>41</v>
      </c>
      <c r="B19">
        <v>143</v>
      </c>
      <c r="C19">
        <v>623</v>
      </c>
      <c r="D19">
        <v>80</v>
      </c>
      <c r="E19">
        <v>442</v>
      </c>
      <c r="F19" s="2">
        <v>6e-5</v>
      </c>
      <c r="G19">
        <v>139</v>
      </c>
      <c r="H19">
        <v>0.000296</v>
      </c>
      <c r="I19">
        <v>105</v>
      </c>
      <c r="J19">
        <v>0.019748</v>
      </c>
      <c r="K19">
        <v>144</v>
      </c>
      <c r="L19">
        <v>1</v>
      </c>
      <c r="M19">
        <v>0.004522</v>
      </c>
      <c r="N19">
        <v>6</v>
      </c>
      <c r="O19" s="2">
        <v>4.1e-5</v>
      </c>
      <c r="P19">
        <v>7</v>
      </c>
      <c r="Q19">
        <v>0.028942</v>
      </c>
      <c r="S19">
        <f t="shared" si="0"/>
        <v>44.0559440559441</v>
      </c>
      <c r="T19">
        <f t="shared" si="1"/>
        <v>83.1460674157303</v>
      </c>
    </row>
    <row r="20" spans="1:20">
      <c r="A20" s="1" t="s">
        <v>42</v>
      </c>
      <c r="B20">
        <v>1266</v>
      </c>
      <c r="C20">
        <v>6451</v>
      </c>
      <c r="D20">
        <v>761</v>
      </c>
      <c r="E20">
        <v>5580</v>
      </c>
      <c r="F20">
        <v>0.000782</v>
      </c>
      <c r="G20">
        <v>689</v>
      </c>
      <c r="H20">
        <v>0.003834</v>
      </c>
      <c r="I20">
        <v>141</v>
      </c>
      <c r="J20">
        <v>0.024911</v>
      </c>
      <c r="K20">
        <v>56</v>
      </c>
      <c r="L20">
        <v>0</v>
      </c>
      <c r="M20">
        <v>0.004417</v>
      </c>
      <c r="N20">
        <v>4</v>
      </c>
      <c r="O20">
        <v>0.00042</v>
      </c>
      <c r="P20">
        <v>4</v>
      </c>
      <c r="Q20">
        <v>0.039569</v>
      </c>
      <c r="S20">
        <f t="shared" si="0"/>
        <v>39.8894154818325</v>
      </c>
      <c r="T20">
        <f t="shared" si="1"/>
        <v>97.814292357774</v>
      </c>
    </row>
    <row r="21" spans="1:20">
      <c r="A21" s="1" t="s">
        <v>43</v>
      </c>
      <c r="B21">
        <v>410</v>
      </c>
      <c r="C21">
        <v>2765</v>
      </c>
      <c r="D21">
        <v>126</v>
      </c>
      <c r="E21">
        <v>1182</v>
      </c>
      <c r="F21" s="2">
        <v>0.000194</v>
      </c>
      <c r="G21">
        <v>320</v>
      </c>
      <c r="H21" s="2">
        <v>0.001861</v>
      </c>
      <c r="I21">
        <v>177</v>
      </c>
      <c r="J21">
        <v>0.04925</v>
      </c>
      <c r="K21">
        <v>145</v>
      </c>
      <c r="L21">
        <v>0</v>
      </c>
      <c r="M21">
        <v>0.007058</v>
      </c>
      <c r="N21">
        <v>12</v>
      </c>
      <c r="O21" s="2">
        <v>0.000224</v>
      </c>
      <c r="P21">
        <v>12</v>
      </c>
      <c r="Q21">
        <v>0.076931</v>
      </c>
      <c r="S21">
        <f t="shared" si="0"/>
        <v>69.2682926829268</v>
      </c>
      <c r="T21">
        <f t="shared" si="1"/>
        <v>93.5985533453888</v>
      </c>
    </row>
    <row r="22" spans="1:20">
      <c r="A22" s="1" t="s">
        <v>44</v>
      </c>
      <c r="B22">
        <v>113</v>
      </c>
      <c r="C22">
        <v>2196</v>
      </c>
      <c r="D22">
        <v>112</v>
      </c>
      <c r="E22">
        <v>2195</v>
      </c>
      <c r="F22">
        <v>0.000347</v>
      </c>
      <c r="G22">
        <v>1939</v>
      </c>
      <c r="H22">
        <v>0.007776</v>
      </c>
      <c r="I22">
        <v>1824</v>
      </c>
      <c r="J22">
        <v>0.222222</v>
      </c>
      <c r="K22">
        <v>1077</v>
      </c>
      <c r="L22">
        <v>402</v>
      </c>
      <c r="M22">
        <v>0.18975</v>
      </c>
      <c r="N22">
        <v>10</v>
      </c>
      <c r="O22">
        <v>0.000259</v>
      </c>
      <c r="P22">
        <v>12</v>
      </c>
      <c r="Q22">
        <v>0.431548</v>
      </c>
      <c r="S22">
        <f t="shared" si="0"/>
        <v>0.884955752212391</v>
      </c>
      <c r="T22">
        <f t="shared" si="1"/>
        <v>16.9398907103825</v>
      </c>
    </row>
    <row r="23" spans="1:20">
      <c r="A23" s="1" t="s">
        <v>45</v>
      </c>
      <c r="B23">
        <v>6809</v>
      </c>
      <c r="C23">
        <v>7680</v>
      </c>
      <c r="D23">
        <v>228</v>
      </c>
      <c r="E23">
        <v>805</v>
      </c>
      <c r="F23">
        <v>0.000207</v>
      </c>
      <c r="G23">
        <v>196</v>
      </c>
      <c r="H23">
        <v>0.000286</v>
      </c>
      <c r="I23">
        <v>163</v>
      </c>
      <c r="J23">
        <v>0.042281</v>
      </c>
      <c r="K23">
        <v>169</v>
      </c>
      <c r="L23">
        <v>0</v>
      </c>
      <c r="M23">
        <v>0.011717</v>
      </c>
      <c r="N23">
        <v>3</v>
      </c>
      <c r="O23">
        <v>0.000279</v>
      </c>
      <c r="P23">
        <v>3</v>
      </c>
      <c r="Q23">
        <v>0.058513</v>
      </c>
      <c r="S23">
        <f t="shared" si="0"/>
        <v>96.6514906741078</v>
      </c>
      <c r="T23">
        <f t="shared" si="1"/>
        <v>97.8776041666667</v>
      </c>
    </row>
    <row r="24" spans="1:20">
      <c r="A24" s="1" t="s">
        <v>46</v>
      </c>
      <c r="B24">
        <v>92117</v>
      </c>
      <c r="C24">
        <v>360767</v>
      </c>
      <c r="D24">
        <v>19832</v>
      </c>
      <c r="E24">
        <v>264678</v>
      </c>
      <c r="F24" s="2">
        <v>0.048507</v>
      </c>
      <c r="G24">
        <v>139137</v>
      </c>
      <c r="H24" s="2">
        <v>0.848575</v>
      </c>
      <c r="I24">
        <v>138987</v>
      </c>
      <c r="J24">
        <v>0.177326</v>
      </c>
      <c r="K24">
        <v>533</v>
      </c>
      <c r="L24">
        <v>0</v>
      </c>
      <c r="M24">
        <v>-1</v>
      </c>
      <c r="N24">
        <v>4</v>
      </c>
      <c r="O24" s="2">
        <v>0.038795</v>
      </c>
      <c r="P24">
        <v>10</v>
      </c>
      <c r="Q24">
        <v>600</v>
      </c>
      <c r="S24">
        <f t="shared" si="0"/>
        <v>78.4708577135599</v>
      </c>
      <c r="T24">
        <f t="shared" si="1"/>
        <v>61.4745805464469</v>
      </c>
    </row>
    <row r="25" spans="1:20">
      <c r="A25" s="1" t="s">
        <v>47</v>
      </c>
      <c r="B25">
        <v>4941</v>
      </c>
      <c r="C25">
        <v>6594</v>
      </c>
      <c r="D25">
        <v>107</v>
      </c>
      <c r="E25">
        <v>199</v>
      </c>
      <c r="F25">
        <v>0.000204</v>
      </c>
      <c r="G25">
        <v>63</v>
      </c>
      <c r="H25" s="4" t="s">
        <v>160</v>
      </c>
      <c r="I25">
        <v>60</v>
      </c>
      <c r="J25">
        <v>0.016292</v>
      </c>
      <c r="K25">
        <v>52</v>
      </c>
      <c r="L25">
        <v>0</v>
      </c>
      <c r="M25">
        <v>0.003085</v>
      </c>
      <c r="N25">
        <v>4</v>
      </c>
      <c r="O25">
        <v>0.000471</v>
      </c>
      <c r="P25">
        <v>4</v>
      </c>
      <c r="Q25">
        <v>0.023392</v>
      </c>
      <c r="S25">
        <f t="shared" si="0"/>
        <v>97.8344464683262</v>
      </c>
      <c r="T25">
        <f t="shared" si="1"/>
        <v>99.0900818926297</v>
      </c>
    </row>
    <row r="26" spans="1:20">
      <c r="A26" s="1" t="s">
        <v>49</v>
      </c>
      <c r="B26">
        <v>91813</v>
      </c>
      <c r="C26">
        <v>125704</v>
      </c>
      <c r="D26">
        <v>114</v>
      </c>
      <c r="E26">
        <v>136</v>
      </c>
      <c r="F26" s="2">
        <v>0.003723</v>
      </c>
      <c r="G26">
        <v>0</v>
      </c>
      <c r="H26" s="2">
        <v>2.8e-5</v>
      </c>
      <c r="I26">
        <v>0</v>
      </c>
      <c r="J26">
        <v>0</v>
      </c>
      <c r="K26">
        <v>0</v>
      </c>
      <c r="L26">
        <v>0</v>
      </c>
      <c r="M26">
        <v>0.001105</v>
      </c>
      <c r="N26">
        <v>5</v>
      </c>
      <c r="O26" s="2">
        <v>0.012031</v>
      </c>
      <c r="P26">
        <v>5</v>
      </c>
      <c r="Q26">
        <v>0.049308</v>
      </c>
      <c r="S26">
        <f t="shared" si="0"/>
        <v>99.8758345768028</v>
      </c>
      <c r="T26">
        <f t="shared" si="1"/>
        <v>100</v>
      </c>
    </row>
    <row r="27" spans="1:20">
      <c r="A27" s="1" t="s">
        <v>50</v>
      </c>
      <c r="B27">
        <v>96</v>
      </c>
      <c r="C27">
        <v>117</v>
      </c>
      <c r="D27">
        <v>16</v>
      </c>
      <c r="E27">
        <v>26</v>
      </c>
      <c r="F27" s="4" t="s">
        <v>66</v>
      </c>
      <c r="G27">
        <v>6</v>
      </c>
      <c r="H27" s="4" t="s">
        <v>107</v>
      </c>
      <c r="I27">
        <v>6</v>
      </c>
      <c r="J27">
        <v>0.003732</v>
      </c>
      <c r="K27">
        <v>7</v>
      </c>
      <c r="L27">
        <v>0</v>
      </c>
      <c r="M27">
        <v>0.002603</v>
      </c>
      <c r="N27">
        <v>3</v>
      </c>
      <c r="O27" s="4" t="s">
        <v>107</v>
      </c>
      <c r="P27">
        <v>3</v>
      </c>
      <c r="Q27">
        <v>0.014045</v>
      </c>
      <c r="S27">
        <f t="shared" si="0"/>
        <v>83.3333333333333</v>
      </c>
      <c r="T27">
        <f t="shared" si="1"/>
        <v>94.8717948717949</v>
      </c>
    </row>
    <row r="28" spans="1:20">
      <c r="A28" s="1" t="s">
        <v>52</v>
      </c>
      <c r="B28">
        <v>761</v>
      </c>
      <c r="C28">
        <v>1029</v>
      </c>
      <c r="D28">
        <v>51</v>
      </c>
      <c r="E28">
        <v>139</v>
      </c>
      <c r="F28" s="4" t="s">
        <v>161</v>
      </c>
      <c r="G28">
        <v>13</v>
      </c>
      <c r="H28" s="4" t="s">
        <v>162</v>
      </c>
      <c r="I28">
        <v>0</v>
      </c>
      <c r="J28" s="4" t="s">
        <v>82</v>
      </c>
      <c r="K28">
        <v>0</v>
      </c>
      <c r="L28">
        <v>0</v>
      </c>
      <c r="M28">
        <v>0.002093</v>
      </c>
      <c r="N28">
        <v>4</v>
      </c>
      <c r="O28" s="4" t="s">
        <v>156</v>
      </c>
      <c r="P28">
        <v>4</v>
      </c>
      <c r="Q28">
        <v>0.002739</v>
      </c>
      <c r="S28">
        <f t="shared" si="0"/>
        <v>93.2982917214192</v>
      </c>
      <c r="T28">
        <f t="shared" si="1"/>
        <v>100</v>
      </c>
    </row>
    <row r="29" spans="1:20">
      <c r="A29" s="1" t="s">
        <v>54</v>
      </c>
      <c r="B29">
        <v>146</v>
      </c>
      <c r="C29">
        <v>9828</v>
      </c>
      <c r="D29">
        <v>136</v>
      </c>
      <c r="E29">
        <v>8987</v>
      </c>
      <c r="F29" s="2">
        <v>0.000927</v>
      </c>
      <c r="G29">
        <v>8987</v>
      </c>
      <c r="H29" s="2">
        <v>0.069453</v>
      </c>
      <c r="I29">
        <v>8987</v>
      </c>
      <c r="J29">
        <v>2.3988</v>
      </c>
      <c r="K29">
        <v>2607</v>
      </c>
      <c r="L29">
        <v>74</v>
      </c>
      <c r="M29">
        <v>2.8815</v>
      </c>
      <c r="N29">
        <v>105</v>
      </c>
      <c r="O29" s="2">
        <v>0.001939</v>
      </c>
      <c r="P29">
        <v>105</v>
      </c>
      <c r="Q29">
        <v>6.34428</v>
      </c>
      <c r="S29">
        <f t="shared" si="0"/>
        <v>6.84931506849316</v>
      </c>
      <c r="T29">
        <f t="shared" si="1"/>
        <v>8.55718355718356</v>
      </c>
    </row>
    <row r="30" spans="1:20">
      <c r="A30" s="1" t="s">
        <v>55</v>
      </c>
      <c r="B30">
        <v>488</v>
      </c>
      <c r="C30">
        <v>71011</v>
      </c>
      <c r="D30">
        <v>400</v>
      </c>
      <c r="E30">
        <v>67926</v>
      </c>
      <c r="F30">
        <v>0.007944</v>
      </c>
      <c r="G30">
        <v>-1</v>
      </c>
      <c r="H30">
        <v>2.08211</v>
      </c>
      <c r="I30">
        <v>-1</v>
      </c>
      <c r="J30">
        <v>-1</v>
      </c>
      <c r="K30">
        <v>0</v>
      </c>
      <c r="L30">
        <v>0</v>
      </c>
      <c r="M30">
        <v>-1</v>
      </c>
      <c r="N30">
        <v>158</v>
      </c>
      <c r="O30">
        <v>0.044181</v>
      </c>
      <c r="P30">
        <v>158</v>
      </c>
      <c r="Q30">
        <v>600</v>
      </c>
      <c r="S30">
        <f t="shared" si="0"/>
        <v>18.0327868852459</v>
      </c>
      <c r="T30">
        <f t="shared" si="1"/>
        <v>100.001408232527</v>
      </c>
    </row>
    <row r="31" spans="1:20">
      <c r="A31" s="1" t="s">
        <v>56</v>
      </c>
      <c r="B31">
        <v>1303</v>
      </c>
      <c r="C31">
        <v>531893</v>
      </c>
      <c r="D31">
        <v>1215</v>
      </c>
      <c r="E31">
        <v>527683</v>
      </c>
      <c r="F31">
        <v>0.073241</v>
      </c>
      <c r="G31">
        <v>527683</v>
      </c>
      <c r="H31">
        <v>61.6072</v>
      </c>
      <c r="I31">
        <v>527683</v>
      </c>
      <c r="J31">
        <v>219.089</v>
      </c>
      <c r="K31">
        <v>0</v>
      </c>
      <c r="L31">
        <v>0</v>
      </c>
      <c r="M31">
        <v>-1</v>
      </c>
      <c r="N31">
        <v>210</v>
      </c>
      <c r="O31">
        <v>0.954803</v>
      </c>
      <c r="P31">
        <v>210</v>
      </c>
      <c r="Q31">
        <v>600</v>
      </c>
      <c r="S31">
        <f t="shared" si="0"/>
        <v>6.75364543361473</v>
      </c>
      <c r="T31">
        <f t="shared" si="1"/>
        <v>0.791512578657738</v>
      </c>
    </row>
    <row r="32" spans="1:20">
      <c r="A32" s="1" t="s">
        <v>57</v>
      </c>
      <c r="B32">
        <v>10972</v>
      </c>
      <c r="C32">
        <v>175573</v>
      </c>
      <c r="D32">
        <v>1746</v>
      </c>
      <c r="E32">
        <v>59515</v>
      </c>
      <c r="F32" s="2">
        <v>0.009327</v>
      </c>
      <c r="G32">
        <v>58445</v>
      </c>
      <c r="H32" s="2">
        <v>0.294384</v>
      </c>
      <c r="I32">
        <v>58441</v>
      </c>
      <c r="J32">
        <v>3.58471</v>
      </c>
      <c r="K32">
        <v>839</v>
      </c>
      <c r="L32">
        <v>0</v>
      </c>
      <c r="M32">
        <v>-1</v>
      </c>
      <c r="N32">
        <v>41</v>
      </c>
      <c r="O32" s="2">
        <v>0.023152</v>
      </c>
      <c r="P32">
        <v>50</v>
      </c>
      <c r="Q32">
        <v>600</v>
      </c>
      <c r="S32">
        <f t="shared" si="0"/>
        <v>84.0867663142545</v>
      </c>
      <c r="T32">
        <f t="shared" si="1"/>
        <v>66.7141303047735</v>
      </c>
    </row>
    <row r="33" spans="1:20">
      <c r="A33" s="1" t="s">
        <v>58</v>
      </c>
      <c r="B33">
        <v>113</v>
      </c>
      <c r="C33">
        <v>6222</v>
      </c>
      <c r="D33">
        <v>108</v>
      </c>
      <c r="E33">
        <v>5763</v>
      </c>
      <c r="F33">
        <v>0.000584</v>
      </c>
      <c r="G33">
        <v>5669</v>
      </c>
      <c r="H33">
        <v>0.034473</v>
      </c>
      <c r="I33">
        <v>5669</v>
      </c>
      <c r="J33">
        <v>0.473262</v>
      </c>
      <c r="K33">
        <v>2232</v>
      </c>
      <c r="L33">
        <v>31</v>
      </c>
      <c r="M33">
        <v>4.59648</v>
      </c>
      <c r="N33">
        <v>96</v>
      </c>
      <c r="O33">
        <v>0.000896</v>
      </c>
      <c r="P33">
        <v>96</v>
      </c>
      <c r="Q33">
        <v>5.29685</v>
      </c>
      <c r="S33">
        <f t="shared" si="0"/>
        <v>4.42477876106194</v>
      </c>
      <c r="T33">
        <f t="shared" si="1"/>
        <v>8.88781742205079</v>
      </c>
    </row>
    <row r="34" spans="1:20">
      <c r="A34" s="1" t="s">
        <v>59</v>
      </c>
      <c r="B34">
        <v>1206</v>
      </c>
      <c r="C34">
        <v>65990</v>
      </c>
      <c r="D34">
        <v>528</v>
      </c>
      <c r="E34">
        <v>56435</v>
      </c>
      <c r="F34" s="2">
        <v>0.007163</v>
      </c>
      <c r="G34">
        <v>54814</v>
      </c>
      <c r="H34" s="2">
        <v>1.18995</v>
      </c>
      <c r="I34">
        <v>54807</v>
      </c>
      <c r="J34">
        <v>148.826</v>
      </c>
      <c r="K34">
        <v>786</v>
      </c>
      <c r="L34">
        <v>0</v>
      </c>
      <c r="M34">
        <v>-1</v>
      </c>
      <c r="N34">
        <v>79</v>
      </c>
      <c r="O34" s="2">
        <v>0.021644</v>
      </c>
      <c r="P34">
        <v>115</v>
      </c>
      <c r="Q34">
        <v>600</v>
      </c>
      <c r="S34">
        <f t="shared" si="0"/>
        <v>56.2189054726368</v>
      </c>
      <c r="T34">
        <f t="shared" si="1"/>
        <v>16.9465070465222</v>
      </c>
    </row>
    <row r="35" spans="1:20">
      <c r="A35" s="1" t="s">
        <v>60</v>
      </c>
      <c r="B35">
        <v>17151</v>
      </c>
      <c r="C35">
        <v>24015</v>
      </c>
      <c r="D35">
        <v>270</v>
      </c>
      <c r="E35">
        <v>2200</v>
      </c>
      <c r="F35" s="2">
        <v>0.000849</v>
      </c>
      <c r="G35">
        <v>1514</v>
      </c>
      <c r="H35" s="2">
        <v>0.002776</v>
      </c>
      <c r="I35">
        <v>1511</v>
      </c>
      <c r="J35">
        <v>0.166091</v>
      </c>
      <c r="K35">
        <v>2355</v>
      </c>
      <c r="L35">
        <v>370</v>
      </c>
      <c r="M35">
        <v>0.984248</v>
      </c>
      <c r="N35">
        <v>10</v>
      </c>
      <c r="O35" s="2">
        <v>0.001963</v>
      </c>
      <c r="P35">
        <v>11</v>
      </c>
      <c r="Q35">
        <v>1.2278</v>
      </c>
      <c r="S35">
        <f t="shared" si="0"/>
        <v>98.4257477698093</v>
      </c>
      <c r="T35">
        <f t="shared" si="1"/>
        <v>93.7080991047262</v>
      </c>
    </row>
    <row r="36" spans="1:20">
      <c r="A36" s="1" t="s">
        <v>61</v>
      </c>
      <c r="B36">
        <v>72</v>
      </c>
      <c r="C36">
        <v>355</v>
      </c>
      <c r="D36">
        <v>18</v>
      </c>
      <c r="E36">
        <v>150</v>
      </c>
      <c r="F36" s="4" t="s">
        <v>71</v>
      </c>
      <c r="G36">
        <v>150</v>
      </c>
      <c r="H36">
        <v>0.000137</v>
      </c>
      <c r="I36">
        <v>150</v>
      </c>
      <c r="J36" s="4" t="s">
        <v>63</v>
      </c>
      <c r="K36">
        <v>1</v>
      </c>
      <c r="L36">
        <v>0</v>
      </c>
      <c r="M36">
        <v>0.004171</v>
      </c>
      <c r="N36">
        <v>15</v>
      </c>
      <c r="O36" s="4" t="s">
        <v>64</v>
      </c>
      <c r="P36">
        <v>15</v>
      </c>
      <c r="Q36">
        <v>0.011418</v>
      </c>
      <c r="S36">
        <f t="shared" si="0"/>
        <v>75</v>
      </c>
      <c r="T36">
        <f t="shared" si="1"/>
        <v>57.7464788732394</v>
      </c>
    </row>
    <row r="37" spans="1:20">
      <c r="A37" s="1" t="s">
        <v>65</v>
      </c>
      <c r="B37">
        <v>34</v>
      </c>
      <c r="C37">
        <v>96</v>
      </c>
      <c r="D37">
        <v>12</v>
      </c>
      <c r="E37">
        <v>53</v>
      </c>
      <c r="F37" s="2">
        <v>9e-6</v>
      </c>
      <c r="G37">
        <v>53</v>
      </c>
      <c r="H37" s="2">
        <v>3.7e-5</v>
      </c>
      <c r="I37">
        <v>53</v>
      </c>
      <c r="J37">
        <v>0.002501</v>
      </c>
      <c r="K37">
        <v>22</v>
      </c>
      <c r="L37">
        <v>1</v>
      </c>
      <c r="M37">
        <v>0.004761</v>
      </c>
      <c r="N37">
        <v>7</v>
      </c>
      <c r="O37" s="2">
        <v>1e-5</v>
      </c>
      <c r="P37">
        <v>7</v>
      </c>
      <c r="Q37">
        <v>0.010362</v>
      </c>
      <c r="S37">
        <f t="shared" si="0"/>
        <v>64.7058823529412</v>
      </c>
      <c r="T37">
        <f t="shared" si="1"/>
        <v>44.7916666666667</v>
      </c>
    </row>
    <row r="38" spans="1:20">
      <c r="A38" s="1" t="s">
        <v>67</v>
      </c>
      <c r="B38">
        <v>72</v>
      </c>
      <c r="C38">
        <v>129</v>
      </c>
      <c r="D38">
        <v>12</v>
      </c>
      <c r="E38">
        <v>53</v>
      </c>
      <c r="F38" s="4" t="s">
        <v>48</v>
      </c>
      <c r="G38">
        <v>35</v>
      </c>
      <c r="H38" s="4" t="s">
        <v>152</v>
      </c>
      <c r="I38">
        <v>35</v>
      </c>
      <c r="J38">
        <v>0.003715</v>
      </c>
      <c r="K38">
        <v>7</v>
      </c>
      <c r="L38">
        <v>0</v>
      </c>
      <c r="M38">
        <v>0.002825</v>
      </c>
      <c r="N38">
        <v>7</v>
      </c>
      <c r="O38" s="4" t="s">
        <v>31</v>
      </c>
      <c r="P38">
        <v>7</v>
      </c>
      <c r="Q38">
        <v>0.010259</v>
      </c>
      <c r="S38">
        <f t="shared" si="0"/>
        <v>83.3333333333333</v>
      </c>
      <c r="T38">
        <f t="shared" si="1"/>
        <v>72.8682170542636</v>
      </c>
    </row>
    <row r="39" spans="1:20">
      <c r="A39" s="1" t="s">
        <v>70</v>
      </c>
      <c r="B39">
        <v>80</v>
      </c>
      <c r="C39">
        <v>226</v>
      </c>
      <c r="D39">
        <v>18</v>
      </c>
      <c r="E39">
        <v>103</v>
      </c>
      <c r="F39" s="4" t="s">
        <v>51</v>
      </c>
      <c r="G39">
        <v>80</v>
      </c>
      <c r="H39" s="4" t="s">
        <v>163</v>
      </c>
      <c r="I39">
        <v>80</v>
      </c>
      <c r="J39">
        <v>0.005738</v>
      </c>
      <c r="K39">
        <v>26</v>
      </c>
      <c r="L39">
        <v>2</v>
      </c>
      <c r="M39">
        <v>0.069378</v>
      </c>
      <c r="N39">
        <v>8</v>
      </c>
      <c r="O39" s="4" t="s">
        <v>92</v>
      </c>
      <c r="P39">
        <v>9</v>
      </c>
      <c r="Q39">
        <v>0.079668</v>
      </c>
      <c r="S39">
        <f t="shared" si="0"/>
        <v>77.5</v>
      </c>
      <c r="T39">
        <f t="shared" si="1"/>
        <v>64.6017699115044</v>
      </c>
    </row>
    <row r="40" spans="1:20">
      <c r="A40" s="1" t="s">
        <v>72</v>
      </c>
      <c r="B40">
        <v>34</v>
      </c>
      <c r="C40">
        <v>41</v>
      </c>
      <c r="D40">
        <v>6</v>
      </c>
      <c r="E40">
        <v>14</v>
      </c>
      <c r="F40" s="4" t="s">
        <v>73</v>
      </c>
      <c r="G40">
        <v>14</v>
      </c>
      <c r="H40" s="4" t="s">
        <v>66</v>
      </c>
      <c r="I40">
        <v>14</v>
      </c>
      <c r="J40" s="4" t="s">
        <v>25</v>
      </c>
      <c r="K40">
        <v>2</v>
      </c>
      <c r="L40">
        <v>1</v>
      </c>
      <c r="M40">
        <v>0.006692</v>
      </c>
      <c r="N40">
        <v>4</v>
      </c>
      <c r="O40" s="4" t="s">
        <v>21</v>
      </c>
      <c r="P40">
        <v>4</v>
      </c>
      <c r="Q40">
        <v>0.013381</v>
      </c>
      <c r="S40">
        <f t="shared" si="0"/>
        <v>82.3529411764706</v>
      </c>
      <c r="T40">
        <f t="shared" si="1"/>
        <v>65.8536585365854</v>
      </c>
    </row>
    <row r="41" spans="1:20">
      <c r="A41" s="1" t="s">
        <v>74</v>
      </c>
      <c r="B41">
        <v>31</v>
      </c>
      <c r="C41">
        <v>39</v>
      </c>
      <c r="D41">
        <v>6</v>
      </c>
      <c r="E41">
        <v>15</v>
      </c>
      <c r="F41" s="4" t="s">
        <v>63</v>
      </c>
      <c r="G41">
        <v>15</v>
      </c>
      <c r="H41" s="4" t="s">
        <v>66</v>
      </c>
      <c r="I41">
        <v>15</v>
      </c>
      <c r="J41" s="4" t="s">
        <v>25</v>
      </c>
      <c r="K41">
        <v>1</v>
      </c>
      <c r="L41">
        <v>0</v>
      </c>
      <c r="M41">
        <v>0.00273</v>
      </c>
      <c r="N41">
        <v>5</v>
      </c>
      <c r="O41" s="4" t="s">
        <v>75</v>
      </c>
      <c r="P41">
        <v>5</v>
      </c>
      <c r="Q41">
        <v>0.012295</v>
      </c>
      <c r="S41">
        <f t="shared" si="0"/>
        <v>80.6451612903226</v>
      </c>
      <c r="T41">
        <f t="shared" si="1"/>
        <v>61.5384615384615</v>
      </c>
    </row>
    <row r="42" spans="1:20">
      <c r="A42" s="1" t="s">
        <v>76</v>
      </c>
      <c r="B42">
        <v>135</v>
      </c>
      <c r="C42">
        <v>1078</v>
      </c>
      <c r="D42">
        <v>37</v>
      </c>
      <c r="E42">
        <v>511</v>
      </c>
      <c r="F42" s="4" t="s">
        <v>164</v>
      </c>
      <c r="G42">
        <v>486</v>
      </c>
      <c r="H42">
        <v>0.000853</v>
      </c>
      <c r="I42">
        <v>486</v>
      </c>
      <c r="J42">
        <v>0.017374</v>
      </c>
      <c r="K42">
        <v>71</v>
      </c>
      <c r="L42">
        <v>6</v>
      </c>
      <c r="M42">
        <v>0.010667</v>
      </c>
      <c r="N42">
        <v>20</v>
      </c>
      <c r="O42" s="4" t="s">
        <v>165</v>
      </c>
      <c r="P42">
        <v>20</v>
      </c>
      <c r="Q42">
        <v>0.041688</v>
      </c>
      <c r="S42">
        <f t="shared" si="0"/>
        <v>72.5925925925926</v>
      </c>
      <c r="T42">
        <f t="shared" si="1"/>
        <v>54.9165120593692</v>
      </c>
    </row>
    <row r="43" spans="1:20">
      <c r="A43" s="1" t="s">
        <v>79</v>
      </c>
      <c r="B43">
        <v>13</v>
      </c>
      <c r="C43">
        <v>7</v>
      </c>
      <c r="D43">
        <v>1</v>
      </c>
      <c r="E43">
        <v>0</v>
      </c>
      <c r="F43" s="4" t="s">
        <v>80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0.002177</v>
      </c>
      <c r="N43">
        <v>2</v>
      </c>
      <c r="O43" s="4" t="s">
        <v>84</v>
      </c>
      <c r="P43">
        <v>2</v>
      </c>
      <c r="Q43">
        <v>0.005903</v>
      </c>
      <c r="S43">
        <f t="shared" si="0"/>
        <v>92.3076923076923</v>
      </c>
      <c r="T43">
        <f t="shared" si="1"/>
        <v>100</v>
      </c>
    </row>
    <row r="44" spans="1:20">
      <c r="A44" s="1" t="s">
        <v>81</v>
      </c>
      <c r="B44">
        <v>5</v>
      </c>
      <c r="C44">
        <v>6</v>
      </c>
      <c r="D44">
        <v>4</v>
      </c>
      <c r="E44">
        <v>5</v>
      </c>
      <c r="F44" s="2">
        <v>6e-6</v>
      </c>
      <c r="G44">
        <v>5</v>
      </c>
      <c r="H44" s="2">
        <v>9e-6</v>
      </c>
      <c r="I44">
        <v>5</v>
      </c>
      <c r="J44" s="4" t="s">
        <v>25</v>
      </c>
      <c r="K44">
        <v>2</v>
      </c>
      <c r="L44">
        <v>1</v>
      </c>
      <c r="M44">
        <v>0.005592</v>
      </c>
      <c r="N44">
        <v>2</v>
      </c>
      <c r="O44" s="2">
        <v>6e-6</v>
      </c>
      <c r="P44">
        <v>2</v>
      </c>
      <c r="Q44">
        <v>0.01747</v>
      </c>
      <c r="S44">
        <f t="shared" si="0"/>
        <v>20</v>
      </c>
      <c r="T44">
        <f t="shared" si="1"/>
        <v>16.6666666666667</v>
      </c>
    </row>
    <row r="45" spans="1:20">
      <c r="A45" s="1" t="s">
        <v>83</v>
      </c>
      <c r="B45">
        <v>22</v>
      </c>
      <c r="C45">
        <v>12</v>
      </c>
      <c r="D45">
        <v>2</v>
      </c>
      <c r="E45">
        <v>1</v>
      </c>
      <c r="F45" s="4" t="s">
        <v>80</v>
      </c>
      <c r="G45">
        <v>0</v>
      </c>
      <c r="H45" s="4" t="s">
        <v>80</v>
      </c>
      <c r="I45">
        <v>0</v>
      </c>
      <c r="J45">
        <v>0</v>
      </c>
      <c r="K45">
        <v>0</v>
      </c>
      <c r="L45">
        <v>0</v>
      </c>
      <c r="M45">
        <v>0.001578</v>
      </c>
      <c r="N45">
        <v>2</v>
      </c>
      <c r="O45" s="4" t="s">
        <v>84</v>
      </c>
      <c r="P45">
        <v>2</v>
      </c>
      <c r="Q45">
        <v>0.005495</v>
      </c>
      <c r="S45">
        <f t="shared" si="0"/>
        <v>90.9090909090909</v>
      </c>
      <c r="T45">
        <f t="shared" si="1"/>
        <v>100</v>
      </c>
    </row>
    <row r="46" spans="1:20">
      <c r="A46" s="1" t="s">
        <v>85</v>
      </c>
      <c r="B46">
        <v>62</v>
      </c>
      <c r="C46">
        <v>442</v>
      </c>
      <c r="D46">
        <v>22</v>
      </c>
      <c r="E46">
        <v>207</v>
      </c>
      <c r="F46" s="4" t="s">
        <v>151</v>
      </c>
      <c r="G46">
        <v>168</v>
      </c>
      <c r="H46">
        <v>0.000237</v>
      </c>
      <c r="I46">
        <v>168</v>
      </c>
      <c r="J46">
        <v>0.00806</v>
      </c>
      <c r="K46">
        <v>15</v>
      </c>
      <c r="L46">
        <v>0</v>
      </c>
      <c r="M46">
        <v>0.004757</v>
      </c>
      <c r="N46">
        <v>16</v>
      </c>
      <c r="O46" s="4" t="s">
        <v>86</v>
      </c>
      <c r="P46">
        <v>16</v>
      </c>
      <c r="Q46">
        <v>0.019709</v>
      </c>
      <c r="S46">
        <f t="shared" si="0"/>
        <v>64.5161290322581</v>
      </c>
      <c r="T46">
        <f t="shared" si="1"/>
        <v>61.9909502262443</v>
      </c>
    </row>
    <row r="47" spans="1:20">
      <c r="A47" s="1" t="s">
        <v>87</v>
      </c>
      <c r="B47">
        <v>21</v>
      </c>
      <c r="C47">
        <v>23</v>
      </c>
      <c r="D47">
        <v>6</v>
      </c>
      <c r="E47">
        <v>15</v>
      </c>
      <c r="F47" s="4" t="s">
        <v>63</v>
      </c>
      <c r="G47">
        <v>15</v>
      </c>
      <c r="H47" s="4" t="s">
        <v>82</v>
      </c>
      <c r="I47">
        <v>15</v>
      </c>
      <c r="J47" s="4" t="s">
        <v>25</v>
      </c>
      <c r="K47">
        <v>1</v>
      </c>
      <c r="L47">
        <v>0</v>
      </c>
      <c r="M47">
        <v>0.002741</v>
      </c>
      <c r="N47">
        <v>5</v>
      </c>
      <c r="O47" s="4" t="s">
        <v>63</v>
      </c>
      <c r="P47">
        <v>5</v>
      </c>
      <c r="Q47">
        <v>0.013969</v>
      </c>
      <c r="S47">
        <f t="shared" si="0"/>
        <v>71.4285714285714</v>
      </c>
      <c r="T47">
        <f t="shared" si="1"/>
        <v>34.7826086956522</v>
      </c>
    </row>
    <row r="48" spans="1:20">
      <c r="A48" s="1" t="s">
        <v>88</v>
      </c>
      <c r="B48">
        <v>10</v>
      </c>
      <c r="C48">
        <v>5</v>
      </c>
      <c r="D48">
        <v>0</v>
      </c>
      <c r="E48">
        <v>0</v>
      </c>
      <c r="F48" s="4" t="s">
        <v>80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0.002029</v>
      </c>
      <c r="N48">
        <v>2</v>
      </c>
      <c r="O48" s="4" t="s">
        <v>84</v>
      </c>
      <c r="P48">
        <v>2</v>
      </c>
      <c r="Q48">
        <v>0.010589</v>
      </c>
      <c r="S48">
        <f t="shared" si="0"/>
        <v>100</v>
      </c>
      <c r="T48">
        <f t="shared" si="1"/>
        <v>100</v>
      </c>
    </row>
    <row r="49" spans="1:20">
      <c r="A49" s="1" t="s">
        <v>89</v>
      </c>
      <c r="B49">
        <v>27</v>
      </c>
      <c r="C49">
        <v>26</v>
      </c>
      <c r="D49">
        <v>12</v>
      </c>
      <c r="E49">
        <v>16</v>
      </c>
      <c r="F49" s="2">
        <v>4e-6</v>
      </c>
      <c r="G49">
        <v>13</v>
      </c>
      <c r="H49" s="4" t="s">
        <v>82</v>
      </c>
      <c r="I49">
        <v>10</v>
      </c>
      <c r="J49">
        <v>0.002936</v>
      </c>
      <c r="K49">
        <v>2</v>
      </c>
      <c r="L49">
        <v>1</v>
      </c>
      <c r="M49">
        <v>0.002576</v>
      </c>
      <c r="N49">
        <v>2</v>
      </c>
      <c r="O49" s="2">
        <v>5e-6</v>
      </c>
      <c r="P49">
        <v>3</v>
      </c>
      <c r="Q49">
        <v>0.009059</v>
      </c>
      <c r="S49">
        <f t="shared" si="0"/>
        <v>55.5555555555556</v>
      </c>
      <c r="T49">
        <f t="shared" si="1"/>
        <v>61.5384615384615</v>
      </c>
    </row>
    <row r="50" spans="1:20">
      <c r="A50" s="1" t="s">
        <v>90</v>
      </c>
      <c r="B50">
        <v>273</v>
      </c>
      <c r="C50">
        <v>4510</v>
      </c>
      <c r="D50">
        <v>106</v>
      </c>
      <c r="E50">
        <v>3008</v>
      </c>
      <c r="F50">
        <v>0.000358</v>
      </c>
      <c r="G50">
        <v>3008</v>
      </c>
      <c r="H50">
        <v>0.011585</v>
      </c>
      <c r="I50">
        <v>3008</v>
      </c>
      <c r="J50">
        <v>0.85789</v>
      </c>
      <c r="K50">
        <v>716</v>
      </c>
      <c r="L50">
        <v>48</v>
      </c>
      <c r="M50">
        <v>0.276668</v>
      </c>
      <c r="N50">
        <v>28</v>
      </c>
      <c r="O50">
        <v>0.000588</v>
      </c>
      <c r="P50">
        <v>35</v>
      </c>
      <c r="Q50">
        <v>1.1712</v>
      </c>
      <c r="S50">
        <f t="shared" si="0"/>
        <v>61.1721611721612</v>
      </c>
      <c r="T50">
        <f t="shared" si="1"/>
        <v>33.3037694013304</v>
      </c>
    </row>
    <row r="51" spans="1:20">
      <c r="A51" s="1" t="s">
        <v>91</v>
      </c>
      <c r="B51">
        <v>102</v>
      </c>
      <c r="C51">
        <v>108</v>
      </c>
      <c r="D51">
        <v>11</v>
      </c>
      <c r="E51">
        <v>33</v>
      </c>
      <c r="F51" s="4" t="s">
        <v>48</v>
      </c>
      <c r="G51">
        <v>33</v>
      </c>
      <c r="H51" s="4" t="s">
        <v>166</v>
      </c>
      <c r="I51">
        <v>33</v>
      </c>
      <c r="J51">
        <v>0.004297</v>
      </c>
      <c r="K51">
        <v>5</v>
      </c>
      <c r="L51">
        <v>1</v>
      </c>
      <c r="M51">
        <v>0.003638</v>
      </c>
      <c r="N51">
        <v>4</v>
      </c>
      <c r="O51" s="4" t="s">
        <v>51</v>
      </c>
      <c r="P51">
        <v>5</v>
      </c>
      <c r="Q51">
        <v>0.013521</v>
      </c>
      <c r="S51">
        <f t="shared" si="0"/>
        <v>89.2156862745098</v>
      </c>
      <c r="T51">
        <f t="shared" si="1"/>
        <v>69.4444444444444</v>
      </c>
    </row>
    <row r="52" spans="1:20">
      <c r="A52" s="1" t="s">
        <v>93</v>
      </c>
      <c r="B52">
        <v>8</v>
      </c>
      <c r="C52">
        <v>4</v>
      </c>
      <c r="D52">
        <v>0</v>
      </c>
      <c r="E52">
        <v>0</v>
      </c>
      <c r="F52" s="2">
        <v>1e-6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0.001574</v>
      </c>
      <c r="N52">
        <v>2</v>
      </c>
      <c r="O52" s="2">
        <v>2e-6</v>
      </c>
      <c r="P52">
        <v>2</v>
      </c>
      <c r="Q52">
        <v>0.004627</v>
      </c>
      <c r="S52">
        <f t="shared" si="0"/>
        <v>100</v>
      </c>
      <c r="T52">
        <f t="shared" si="1"/>
        <v>100</v>
      </c>
    </row>
    <row r="53" spans="1:20">
      <c r="A53" s="1" t="s">
        <v>94</v>
      </c>
      <c r="B53">
        <v>55</v>
      </c>
      <c r="C53">
        <v>60</v>
      </c>
      <c r="D53">
        <v>8</v>
      </c>
      <c r="E53">
        <v>20</v>
      </c>
      <c r="F53" s="2">
        <v>6e-6</v>
      </c>
      <c r="G53">
        <v>10</v>
      </c>
      <c r="H53" s="2">
        <v>1.1e-5</v>
      </c>
      <c r="I53">
        <v>10</v>
      </c>
      <c r="J53">
        <v>0.003264</v>
      </c>
      <c r="K53">
        <v>4</v>
      </c>
      <c r="L53">
        <v>0</v>
      </c>
      <c r="M53">
        <v>0.002944</v>
      </c>
      <c r="N53">
        <v>4</v>
      </c>
      <c r="O53" s="2">
        <v>8e-6</v>
      </c>
      <c r="P53">
        <v>4</v>
      </c>
      <c r="Q53">
        <v>0.010118</v>
      </c>
      <c r="S53">
        <f t="shared" si="0"/>
        <v>85.4545454545455</v>
      </c>
      <c r="T53">
        <f t="shared" si="1"/>
        <v>83.3333333333333</v>
      </c>
    </row>
    <row r="54" spans="1:20">
      <c r="A54" s="1" t="s">
        <v>95</v>
      </c>
      <c r="B54">
        <v>127</v>
      </c>
      <c r="C54">
        <v>931</v>
      </c>
      <c r="D54">
        <v>42</v>
      </c>
      <c r="E54">
        <v>509</v>
      </c>
      <c r="F54" s="2">
        <v>6.9e-5</v>
      </c>
      <c r="G54">
        <v>504</v>
      </c>
      <c r="H54" s="2">
        <v>0.000769</v>
      </c>
      <c r="I54">
        <v>504</v>
      </c>
      <c r="J54" s="2">
        <v>0.027254</v>
      </c>
      <c r="K54">
        <v>161</v>
      </c>
      <c r="L54">
        <v>25</v>
      </c>
      <c r="M54">
        <v>0.010695</v>
      </c>
      <c r="N54">
        <v>15</v>
      </c>
      <c r="O54" s="2">
        <v>7.3e-5</v>
      </c>
      <c r="P54">
        <v>16</v>
      </c>
      <c r="Q54">
        <v>0.048236</v>
      </c>
      <c r="S54">
        <f t="shared" si="0"/>
        <v>66.9291338582677</v>
      </c>
      <c r="T54">
        <f t="shared" si="1"/>
        <v>45.8646616541353</v>
      </c>
    </row>
    <row r="55" spans="1:20">
      <c r="A55" s="1" t="s">
        <v>98</v>
      </c>
      <c r="B55">
        <v>16</v>
      </c>
      <c r="C55">
        <v>13</v>
      </c>
      <c r="D55">
        <v>5</v>
      </c>
      <c r="E55">
        <v>5</v>
      </c>
      <c r="F55" s="2">
        <v>2e-6</v>
      </c>
      <c r="G55">
        <v>5</v>
      </c>
      <c r="H55" s="2">
        <v>4e-6</v>
      </c>
      <c r="I55">
        <v>5</v>
      </c>
      <c r="J55">
        <v>0</v>
      </c>
      <c r="K55">
        <v>2</v>
      </c>
      <c r="L55">
        <v>1</v>
      </c>
      <c r="M55">
        <v>0.005409</v>
      </c>
      <c r="N55">
        <v>2</v>
      </c>
      <c r="O55" s="2">
        <v>3e-6</v>
      </c>
      <c r="P55">
        <v>2</v>
      </c>
      <c r="Q55">
        <v>0.022265</v>
      </c>
      <c r="S55">
        <f t="shared" si="0"/>
        <v>68.75</v>
      </c>
      <c r="T55">
        <f t="shared" si="1"/>
        <v>61.5384615384615</v>
      </c>
    </row>
    <row r="56" spans="1:20">
      <c r="A56" s="1" t="s">
        <v>99</v>
      </c>
      <c r="B56">
        <v>35</v>
      </c>
      <c r="C56">
        <v>368</v>
      </c>
      <c r="D56">
        <v>27</v>
      </c>
      <c r="E56">
        <v>351</v>
      </c>
      <c r="F56" s="2">
        <v>3.5e-5</v>
      </c>
      <c r="G56">
        <v>351</v>
      </c>
      <c r="H56" s="2">
        <v>0.000496</v>
      </c>
      <c r="I56">
        <v>351</v>
      </c>
      <c r="J56" s="4" t="s">
        <v>21</v>
      </c>
      <c r="K56">
        <v>1</v>
      </c>
      <c r="L56">
        <v>0</v>
      </c>
      <c r="M56">
        <v>0.006932</v>
      </c>
      <c r="N56">
        <v>26</v>
      </c>
      <c r="O56" s="2">
        <v>2.3e-5</v>
      </c>
      <c r="P56">
        <v>26</v>
      </c>
      <c r="Q56">
        <v>0.014426</v>
      </c>
      <c r="S56">
        <f t="shared" si="0"/>
        <v>22.8571428571429</v>
      </c>
      <c r="T56">
        <f t="shared" si="1"/>
        <v>4.61956521739131</v>
      </c>
    </row>
    <row r="57" spans="1:20">
      <c r="A57" s="1" t="s">
        <v>102</v>
      </c>
      <c r="B57">
        <v>26</v>
      </c>
      <c r="C57">
        <v>15</v>
      </c>
      <c r="D57">
        <v>3</v>
      </c>
      <c r="E57">
        <v>1</v>
      </c>
      <c r="F57" s="4" t="s">
        <v>80</v>
      </c>
      <c r="G57">
        <v>0</v>
      </c>
      <c r="H57" s="4" t="s">
        <v>80</v>
      </c>
      <c r="I57">
        <v>0</v>
      </c>
      <c r="J57">
        <v>0</v>
      </c>
      <c r="K57">
        <v>0</v>
      </c>
      <c r="L57">
        <v>0</v>
      </c>
      <c r="M57">
        <v>0.010965</v>
      </c>
      <c r="N57">
        <v>2</v>
      </c>
      <c r="O57" s="4" t="s">
        <v>63</v>
      </c>
      <c r="P57">
        <v>2</v>
      </c>
      <c r="Q57">
        <v>0.014009</v>
      </c>
      <c r="S57">
        <f t="shared" si="0"/>
        <v>88.4615384615385</v>
      </c>
      <c r="T57">
        <f t="shared" si="1"/>
        <v>100</v>
      </c>
    </row>
    <row r="58" spans="1:20">
      <c r="A58" s="1" t="s">
        <v>103</v>
      </c>
      <c r="B58">
        <v>14</v>
      </c>
      <c r="C58">
        <v>11</v>
      </c>
      <c r="D58">
        <v>5</v>
      </c>
      <c r="E58">
        <v>3</v>
      </c>
      <c r="F58" s="4" t="s">
        <v>84</v>
      </c>
      <c r="G58">
        <v>3</v>
      </c>
      <c r="H58" s="4" t="s">
        <v>84</v>
      </c>
      <c r="I58">
        <v>3</v>
      </c>
      <c r="J58" s="4" t="s">
        <v>25</v>
      </c>
      <c r="K58">
        <v>1</v>
      </c>
      <c r="L58">
        <v>0</v>
      </c>
      <c r="M58">
        <v>0.003197</v>
      </c>
      <c r="N58">
        <v>2</v>
      </c>
      <c r="O58" s="4" t="s">
        <v>63</v>
      </c>
      <c r="P58">
        <v>2</v>
      </c>
      <c r="Q58">
        <v>0.010476</v>
      </c>
      <c r="S58">
        <f t="shared" si="0"/>
        <v>64.2857142857143</v>
      </c>
      <c r="T58">
        <f t="shared" si="1"/>
        <v>72.7272727272727</v>
      </c>
    </row>
    <row r="59" spans="1:20">
      <c r="A59" s="1" t="s">
        <v>104</v>
      </c>
      <c r="B59">
        <v>28</v>
      </c>
      <c r="C59">
        <v>91</v>
      </c>
      <c r="D59">
        <v>12</v>
      </c>
      <c r="E59">
        <v>55</v>
      </c>
      <c r="F59" s="4" t="s">
        <v>82</v>
      </c>
      <c r="G59">
        <v>55</v>
      </c>
      <c r="H59" s="4" t="s">
        <v>69</v>
      </c>
      <c r="I59">
        <v>55</v>
      </c>
      <c r="J59">
        <v>0.00245</v>
      </c>
      <c r="K59">
        <v>21</v>
      </c>
      <c r="L59">
        <v>0</v>
      </c>
      <c r="M59">
        <v>0.002536</v>
      </c>
      <c r="N59">
        <v>7</v>
      </c>
      <c r="O59" s="4" t="s">
        <v>82</v>
      </c>
      <c r="P59">
        <v>7</v>
      </c>
      <c r="Q59">
        <v>0.00804</v>
      </c>
      <c r="S59">
        <f t="shared" si="0"/>
        <v>57.1428571428571</v>
      </c>
      <c r="T59">
        <f t="shared" si="1"/>
        <v>39.5604395604396</v>
      </c>
    </row>
    <row r="60" spans="1:20">
      <c r="A60" s="1" t="s">
        <v>105</v>
      </c>
      <c r="B60">
        <v>26</v>
      </c>
      <c r="C60">
        <v>18</v>
      </c>
      <c r="D60">
        <v>6</v>
      </c>
      <c r="E60">
        <v>6</v>
      </c>
      <c r="F60" s="2">
        <v>3e-6</v>
      </c>
      <c r="G60">
        <v>5</v>
      </c>
      <c r="H60" s="2">
        <v>4e-6</v>
      </c>
      <c r="I60">
        <v>4</v>
      </c>
      <c r="J60">
        <v>0.002588</v>
      </c>
      <c r="K60">
        <v>1</v>
      </c>
      <c r="L60">
        <v>0</v>
      </c>
      <c r="M60">
        <v>0.002626</v>
      </c>
      <c r="N60">
        <v>2</v>
      </c>
      <c r="O60" s="2">
        <v>4e-6</v>
      </c>
      <c r="P60">
        <v>2</v>
      </c>
      <c r="Q60">
        <v>0.009031</v>
      </c>
      <c r="S60">
        <f t="shared" si="0"/>
        <v>76.9230769230769</v>
      </c>
      <c r="T60">
        <f t="shared" si="1"/>
        <v>77.7777777777778</v>
      </c>
    </row>
    <row r="61" spans="1:20">
      <c r="A61" s="1" t="s">
        <v>108</v>
      </c>
      <c r="B61">
        <v>13</v>
      </c>
      <c r="C61">
        <v>8</v>
      </c>
      <c r="D61">
        <v>2</v>
      </c>
      <c r="E61">
        <v>1</v>
      </c>
      <c r="F61" s="4" t="s">
        <v>80</v>
      </c>
      <c r="G61">
        <v>0</v>
      </c>
      <c r="H61" s="4" t="s">
        <v>80</v>
      </c>
      <c r="I61">
        <v>0</v>
      </c>
      <c r="J61">
        <v>0</v>
      </c>
      <c r="K61">
        <v>0</v>
      </c>
      <c r="L61">
        <v>0</v>
      </c>
      <c r="M61">
        <v>0.001957</v>
      </c>
      <c r="N61">
        <v>2</v>
      </c>
      <c r="O61" s="4" t="s">
        <v>84</v>
      </c>
      <c r="P61">
        <v>2</v>
      </c>
      <c r="Q61">
        <v>0.005796</v>
      </c>
      <c r="S61">
        <f t="shared" si="0"/>
        <v>84.6153846153846</v>
      </c>
      <c r="T61">
        <f t="shared" si="1"/>
        <v>100</v>
      </c>
    </row>
    <row r="62" spans="1:20">
      <c r="A62" s="1" t="s">
        <v>109</v>
      </c>
      <c r="B62">
        <v>18</v>
      </c>
      <c r="C62">
        <v>12</v>
      </c>
      <c r="D62">
        <v>5</v>
      </c>
      <c r="E62">
        <v>3</v>
      </c>
      <c r="F62" s="4" t="s">
        <v>80</v>
      </c>
      <c r="G62">
        <v>3</v>
      </c>
      <c r="H62" s="4" t="s">
        <v>84</v>
      </c>
      <c r="I62">
        <v>3</v>
      </c>
      <c r="J62">
        <v>0</v>
      </c>
      <c r="K62">
        <v>1</v>
      </c>
      <c r="L62">
        <v>0</v>
      </c>
      <c r="M62">
        <v>0.003146</v>
      </c>
      <c r="N62">
        <v>2</v>
      </c>
      <c r="O62" s="4" t="s">
        <v>84</v>
      </c>
      <c r="P62">
        <v>2</v>
      </c>
      <c r="Q62">
        <v>0.014331</v>
      </c>
      <c r="S62">
        <f t="shared" si="0"/>
        <v>72.2222222222222</v>
      </c>
      <c r="T62">
        <f t="shared" si="1"/>
        <v>75</v>
      </c>
    </row>
    <row r="63" spans="1:20">
      <c r="A63" s="1" t="s">
        <v>110</v>
      </c>
      <c r="B63">
        <v>7</v>
      </c>
      <c r="C63">
        <v>5</v>
      </c>
      <c r="D63">
        <v>3</v>
      </c>
      <c r="E63">
        <v>3</v>
      </c>
      <c r="F63" s="2">
        <v>7e-6</v>
      </c>
      <c r="G63">
        <v>3</v>
      </c>
      <c r="H63" s="2">
        <v>3e-6</v>
      </c>
      <c r="I63">
        <v>3</v>
      </c>
      <c r="J63">
        <v>0</v>
      </c>
      <c r="K63">
        <v>1</v>
      </c>
      <c r="L63">
        <v>0</v>
      </c>
      <c r="M63">
        <v>0.002616</v>
      </c>
      <c r="N63">
        <v>2</v>
      </c>
      <c r="O63" s="2">
        <v>8e-6</v>
      </c>
      <c r="P63">
        <v>2</v>
      </c>
      <c r="Q63">
        <v>0.016298</v>
      </c>
      <c r="S63">
        <f t="shared" si="0"/>
        <v>57.1428571428571</v>
      </c>
      <c r="T63">
        <f t="shared" si="1"/>
        <v>40</v>
      </c>
    </row>
    <row r="64" spans="1:20">
      <c r="A64" s="1" t="s">
        <v>111</v>
      </c>
      <c r="B64">
        <v>2623</v>
      </c>
      <c r="C64">
        <v>473614</v>
      </c>
      <c r="D64">
        <v>1314</v>
      </c>
      <c r="E64">
        <v>458051</v>
      </c>
      <c r="F64" s="2">
        <v>0.06499</v>
      </c>
      <c r="G64">
        <v>457984</v>
      </c>
      <c r="H64">
        <v>44.8124</v>
      </c>
      <c r="I64">
        <v>457984</v>
      </c>
      <c r="J64" s="2">
        <v>434.003</v>
      </c>
      <c r="K64">
        <v>0</v>
      </c>
      <c r="L64">
        <v>0</v>
      </c>
      <c r="M64">
        <v>-1</v>
      </c>
      <c r="N64">
        <v>137</v>
      </c>
      <c r="O64" s="2">
        <v>0.889915</v>
      </c>
      <c r="P64">
        <v>137</v>
      </c>
      <c r="Q64">
        <v>600</v>
      </c>
      <c r="S64">
        <f t="shared" si="0"/>
        <v>49.9046892870759</v>
      </c>
      <c r="T64">
        <f t="shared" si="1"/>
        <v>3.30015582309645</v>
      </c>
    </row>
    <row r="65" spans="1:20">
      <c r="A65" s="1" t="s">
        <v>112</v>
      </c>
      <c r="B65">
        <v>56739</v>
      </c>
      <c r="C65">
        <v>212945</v>
      </c>
      <c r="D65">
        <v>10374</v>
      </c>
      <c r="E65">
        <v>118306</v>
      </c>
      <c r="F65">
        <v>0.021254</v>
      </c>
      <c r="G65">
        <v>47821</v>
      </c>
      <c r="H65">
        <v>0.221606</v>
      </c>
      <c r="I65">
        <v>47657</v>
      </c>
      <c r="J65">
        <v>0.37677</v>
      </c>
      <c r="K65">
        <v>637</v>
      </c>
      <c r="L65">
        <v>0</v>
      </c>
      <c r="M65">
        <v>-1</v>
      </c>
      <c r="N65">
        <v>7</v>
      </c>
      <c r="O65">
        <v>0.017059</v>
      </c>
      <c r="P65">
        <v>17</v>
      </c>
      <c r="Q65">
        <v>600</v>
      </c>
      <c r="S65">
        <f t="shared" si="0"/>
        <v>81.7162798075398</v>
      </c>
      <c r="T65">
        <f t="shared" si="1"/>
        <v>77.6200427340393</v>
      </c>
    </row>
    <row r="66" spans="1:20">
      <c r="A66" s="1" t="s">
        <v>113</v>
      </c>
      <c r="B66">
        <v>62</v>
      </c>
      <c r="C66">
        <v>159</v>
      </c>
      <c r="D66">
        <v>31</v>
      </c>
      <c r="E66">
        <v>90</v>
      </c>
      <c r="F66" s="2">
        <v>1.6e-5</v>
      </c>
      <c r="G66">
        <v>0</v>
      </c>
      <c r="H66" s="2">
        <v>4.1e-5</v>
      </c>
      <c r="I66">
        <v>0</v>
      </c>
      <c r="J66">
        <v>0</v>
      </c>
      <c r="K66">
        <v>0</v>
      </c>
      <c r="L66">
        <v>0</v>
      </c>
      <c r="M66">
        <v>0.001829</v>
      </c>
      <c r="N66">
        <v>5</v>
      </c>
      <c r="O66" s="2">
        <v>1.4e-5</v>
      </c>
      <c r="P66">
        <v>5</v>
      </c>
      <c r="Q66">
        <v>0.007383</v>
      </c>
      <c r="S66">
        <f t="shared" ref="S66:S96" si="2">(1-D66/B66)*100</f>
        <v>50</v>
      </c>
      <c r="T66">
        <f t="shared" ref="T66:T96" si="3">(1-I66/C66)*100</f>
        <v>100</v>
      </c>
    </row>
    <row r="67" spans="1:20">
      <c r="A67" s="1" t="s">
        <v>116</v>
      </c>
      <c r="B67">
        <v>154908</v>
      </c>
      <c r="C67">
        <v>327162</v>
      </c>
      <c r="D67">
        <v>29489</v>
      </c>
      <c r="E67">
        <v>179659</v>
      </c>
      <c r="F67">
        <v>0.036908</v>
      </c>
      <c r="G67">
        <v>23461</v>
      </c>
      <c r="H67">
        <v>0.12578</v>
      </c>
      <c r="I67">
        <v>23108</v>
      </c>
      <c r="J67">
        <v>0.093595</v>
      </c>
      <c r="K67">
        <v>1820</v>
      </c>
      <c r="L67">
        <v>0</v>
      </c>
      <c r="M67">
        <v>-1</v>
      </c>
      <c r="N67">
        <v>3</v>
      </c>
      <c r="O67">
        <v>0.027129</v>
      </c>
      <c r="P67">
        <v>4</v>
      </c>
      <c r="Q67">
        <v>600</v>
      </c>
      <c r="S67">
        <f t="shared" si="2"/>
        <v>80.9635396493402</v>
      </c>
      <c r="T67">
        <f t="shared" si="3"/>
        <v>92.9368325172239</v>
      </c>
    </row>
    <row r="68" spans="1:20">
      <c r="A68" s="1" t="s">
        <v>117</v>
      </c>
      <c r="B68">
        <v>26588</v>
      </c>
      <c r="C68">
        <v>100120</v>
      </c>
      <c r="D68">
        <v>5212</v>
      </c>
      <c r="E68">
        <v>64043</v>
      </c>
      <c r="F68">
        <v>0.010145</v>
      </c>
      <c r="G68">
        <v>25100</v>
      </c>
      <c r="H68">
        <v>0.106061</v>
      </c>
      <c r="I68">
        <v>24818</v>
      </c>
      <c r="J68">
        <v>0.15078</v>
      </c>
      <c r="K68">
        <v>1987</v>
      </c>
      <c r="L68">
        <v>0</v>
      </c>
      <c r="M68">
        <v>-1</v>
      </c>
      <c r="N68">
        <v>6</v>
      </c>
      <c r="O68">
        <v>0.007618</v>
      </c>
      <c r="P68">
        <v>9</v>
      </c>
      <c r="Q68">
        <v>600</v>
      </c>
      <c r="S68">
        <f t="shared" si="2"/>
        <v>80.3971716563863</v>
      </c>
      <c r="T68">
        <f t="shared" si="3"/>
        <v>75.2117459049141</v>
      </c>
    </row>
    <row r="69" spans="1:20">
      <c r="A69" s="1" t="s">
        <v>118</v>
      </c>
      <c r="B69">
        <v>22900</v>
      </c>
      <c r="C69">
        <v>852419</v>
      </c>
      <c r="D69">
        <v>19364</v>
      </c>
      <c r="E69">
        <v>834920</v>
      </c>
      <c r="F69" s="2">
        <v>0.14337</v>
      </c>
      <c r="G69">
        <v>444557</v>
      </c>
      <c r="H69" s="2">
        <v>4.8989</v>
      </c>
      <c r="I69">
        <v>444281</v>
      </c>
      <c r="J69">
        <v>0.390464</v>
      </c>
      <c r="K69">
        <v>506</v>
      </c>
      <c r="L69">
        <v>0</v>
      </c>
      <c r="M69">
        <v>-1</v>
      </c>
      <c r="N69">
        <v>12</v>
      </c>
      <c r="O69" s="2">
        <v>0.133805</v>
      </c>
      <c r="P69">
        <v>23</v>
      </c>
      <c r="Q69">
        <v>600</v>
      </c>
      <c r="S69">
        <f t="shared" si="2"/>
        <v>15.4410480349345</v>
      </c>
      <c r="T69">
        <f t="shared" si="3"/>
        <v>47.8799745195731</v>
      </c>
    </row>
    <row r="70" spans="1:20">
      <c r="A70" s="1" t="s">
        <v>119</v>
      </c>
      <c r="B70">
        <v>6621</v>
      </c>
      <c r="C70">
        <v>249959</v>
      </c>
      <c r="D70">
        <v>5486</v>
      </c>
      <c r="E70">
        <v>243848</v>
      </c>
      <c r="F70" s="2">
        <v>0.038268</v>
      </c>
      <c r="G70">
        <v>165743</v>
      </c>
      <c r="H70">
        <v>1.53493</v>
      </c>
      <c r="I70">
        <v>165444</v>
      </c>
      <c r="J70">
        <v>0.42571</v>
      </c>
      <c r="K70">
        <v>406</v>
      </c>
      <c r="L70">
        <v>0</v>
      </c>
      <c r="M70">
        <v>-1</v>
      </c>
      <c r="N70">
        <v>13</v>
      </c>
      <c r="O70" s="2">
        <v>0.03573</v>
      </c>
      <c r="P70">
        <v>25</v>
      </c>
      <c r="Q70">
        <v>600</v>
      </c>
      <c r="S70">
        <f t="shared" si="2"/>
        <v>17.1424256154659</v>
      </c>
      <c r="T70">
        <f t="shared" si="3"/>
        <v>33.8115450933953</v>
      </c>
    </row>
    <row r="71" spans="1:20">
      <c r="A71" s="1" t="s">
        <v>120</v>
      </c>
      <c r="B71">
        <v>9885</v>
      </c>
      <c r="C71">
        <v>506437</v>
      </c>
      <c r="D71">
        <v>8666</v>
      </c>
      <c r="E71">
        <v>501331</v>
      </c>
      <c r="F71">
        <v>0.08268</v>
      </c>
      <c r="G71">
        <v>397241</v>
      </c>
      <c r="H71">
        <v>3.75166</v>
      </c>
      <c r="I71">
        <v>396995</v>
      </c>
      <c r="J71">
        <v>0.387097</v>
      </c>
      <c r="K71">
        <v>468</v>
      </c>
      <c r="L71">
        <v>0</v>
      </c>
      <c r="M71">
        <v>-1</v>
      </c>
      <c r="N71">
        <v>11</v>
      </c>
      <c r="O71">
        <v>0.085666</v>
      </c>
      <c r="P71">
        <v>23</v>
      </c>
      <c r="Q71">
        <v>600</v>
      </c>
      <c r="S71">
        <f t="shared" si="2"/>
        <v>12.3318158826505</v>
      </c>
      <c r="T71">
        <f t="shared" si="3"/>
        <v>21.6101904086787</v>
      </c>
    </row>
    <row r="72" spans="1:20">
      <c r="A72" s="1" t="s">
        <v>121</v>
      </c>
      <c r="B72">
        <v>6402</v>
      </c>
      <c r="C72">
        <v>251230</v>
      </c>
      <c r="D72">
        <v>5133</v>
      </c>
      <c r="E72">
        <v>245074</v>
      </c>
      <c r="F72">
        <v>0.039017</v>
      </c>
      <c r="G72">
        <v>171592</v>
      </c>
      <c r="H72">
        <v>1.63769</v>
      </c>
      <c r="I72">
        <v>171320</v>
      </c>
      <c r="J72">
        <v>0.458003</v>
      </c>
      <c r="K72">
        <v>414</v>
      </c>
      <c r="L72">
        <v>0</v>
      </c>
      <c r="M72">
        <v>-1</v>
      </c>
      <c r="N72">
        <v>13</v>
      </c>
      <c r="O72">
        <v>0.037005</v>
      </c>
      <c r="P72">
        <v>24</v>
      </c>
      <c r="Q72">
        <v>600</v>
      </c>
      <c r="S72">
        <f t="shared" si="2"/>
        <v>19.8219306466729</v>
      </c>
      <c r="T72">
        <f t="shared" si="3"/>
        <v>31.807507065239</v>
      </c>
    </row>
    <row r="73" spans="1:20">
      <c r="A73" s="1" t="s">
        <v>122</v>
      </c>
      <c r="B73">
        <v>63392</v>
      </c>
      <c r="C73">
        <v>816886</v>
      </c>
      <c r="D73">
        <v>31909</v>
      </c>
      <c r="E73">
        <v>713333</v>
      </c>
      <c r="F73" s="2">
        <v>0.131956</v>
      </c>
      <c r="G73">
        <v>368297</v>
      </c>
      <c r="H73" s="2">
        <v>2.29431</v>
      </c>
      <c r="I73">
        <v>368069</v>
      </c>
      <c r="J73">
        <v>0.257646</v>
      </c>
      <c r="K73">
        <v>505</v>
      </c>
      <c r="L73">
        <v>0</v>
      </c>
      <c r="M73">
        <v>-1</v>
      </c>
      <c r="N73">
        <v>9</v>
      </c>
      <c r="O73" s="2">
        <v>0.105118</v>
      </c>
      <c r="P73">
        <v>18</v>
      </c>
      <c r="Q73">
        <v>600</v>
      </c>
      <c r="S73">
        <f t="shared" si="2"/>
        <v>49.66399545684</v>
      </c>
      <c r="T73">
        <f t="shared" si="3"/>
        <v>54.9424277071709</v>
      </c>
    </row>
    <row r="74" spans="1:20">
      <c r="A74" s="1" t="s">
        <v>123</v>
      </c>
      <c r="B74">
        <v>11586</v>
      </c>
      <c r="C74">
        <v>568309</v>
      </c>
      <c r="D74">
        <v>9118</v>
      </c>
      <c r="E74">
        <v>556067</v>
      </c>
      <c r="F74">
        <v>0.094861</v>
      </c>
      <c r="G74">
        <v>409128</v>
      </c>
      <c r="H74">
        <v>4.88527</v>
      </c>
      <c r="I74">
        <v>408852</v>
      </c>
      <c r="J74">
        <v>0.573372</v>
      </c>
      <c r="K74">
        <v>476</v>
      </c>
      <c r="L74">
        <v>0</v>
      </c>
      <c r="M74">
        <v>-1</v>
      </c>
      <c r="N74">
        <v>13</v>
      </c>
      <c r="O74">
        <v>0.106619</v>
      </c>
      <c r="P74">
        <v>26</v>
      </c>
      <c r="Q74">
        <v>600</v>
      </c>
      <c r="S74">
        <f t="shared" si="2"/>
        <v>21.3015708613844</v>
      </c>
      <c r="T74">
        <f t="shared" si="3"/>
        <v>28.0581514633764</v>
      </c>
    </row>
    <row r="75" spans="1:20">
      <c r="A75" s="1" t="s">
        <v>124</v>
      </c>
      <c r="B75">
        <v>20453</v>
      </c>
      <c r="C75">
        <v>747604</v>
      </c>
      <c r="D75">
        <v>16333</v>
      </c>
      <c r="E75">
        <v>724548</v>
      </c>
      <c r="F75" s="2">
        <v>0.121564</v>
      </c>
      <c r="G75">
        <v>388018</v>
      </c>
      <c r="H75" s="2">
        <v>4.0905</v>
      </c>
      <c r="I75">
        <v>387767</v>
      </c>
      <c r="J75">
        <v>0.422625</v>
      </c>
      <c r="K75">
        <v>533</v>
      </c>
      <c r="L75">
        <v>0</v>
      </c>
      <c r="M75">
        <v>-1</v>
      </c>
      <c r="N75">
        <v>13</v>
      </c>
      <c r="O75" s="2">
        <v>0.115701</v>
      </c>
      <c r="P75">
        <v>25</v>
      </c>
      <c r="Q75">
        <v>600</v>
      </c>
      <c r="S75">
        <f t="shared" si="2"/>
        <v>20.1437441940058</v>
      </c>
      <c r="T75">
        <f t="shared" si="3"/>
        <v>48.1320324663859</v>
      </c>
    </row>
    <row r="76" spans="1:20">
      <c r="A76" s="1" t="s">
        <v>125</v>
      </c>
      <c r="B76">
        <v>17206</v>
      </c>
      <c r="C76">
        <v>604867</v>
      </c>
      <c r="D76">
        <v>15068</v>
      </c>
      <c r="E76">
        <v>593588</v>
      </c>
      <c r="F76">
        <v>0.101607</v>
      </c>
      <c r="G76">
        <v>273154</v>
      </c>
      <c r="H76">
        <v>2.77483</v>
      </c>
      <c r="I76">
        <v>272846</v>
      </c>
      <c r="J76">
        <v>0.401227</v>
      </c>
      <c r="K76">
        <v>465</v>
      </c>
      <c r="L76">
        <v>0</v>
      </c>
      <c r="M76">
        <v>-1</v>
      </c>
      <c r="N76">
        <v>12</v>
      </c>
      <c r="O76">
        <v>0.086745</v>
      </c>
      <c r="P76">
        <v>23</v>
      </c>
      <c r="Q76">
        <v>600</v>
      </c>
      <c r="S76">
        <f t="shared" si="2"/>
        <v>12.4258979425782</v>
      </c>
      <c r="T76">
        <f t="shared" si="3"/>
        <v>54.8915712049095</v>
      </c>
    </row>
    <row r="77" spans="1:20">
      <c r="A77" s="1" t="s">
        <v>126</v>
      </c>
      <c r="B77">
        <v>14917</v>
      </c>
      <c r="C77">
        <v>482215</v>
      </c>
      <c r="D77">
        <v>11996</v>
      </c>
      <c r="E77">
        <v>464029</v>
      </c>
      <c r="F77" s="2">
        <v>0.076743</v>
      </c>
      <c r="G77">
        <v>212059</v>
      </c>
      <c r="H77" s="2">
        <v>2.24474</v>
      </c>
      <c r="I77">
        <v>211755</v>
      </c>
      <c r="J77">
        <v>0.547673</v>
      </c>
      <c r="K77">
        <v>458</v>
      </c>
      <c r="L77">
        <v>0</v>
      </c>
      <c r="M77">
        <v>-1</v>
      </c>
      <c r="N77">
        <v>14</v>
      </c>
      <c r="O77" s="2">
        <v>0.068854</v>
      </c>
      <c r="P77">
        <v>27</v>
      </c>
      <c r="Q77">
        <v>600</v>
      </c>
      <c r="S77">
        <f t="shared" si="2"/>
        <v>19.5816853254676</v>
      </c>
      <c r="T77">
        <f t="shared" si="3"/>
        <v>56.0870151281068</v>
      </c>
    </row>
    <row r="78" spans="1:20">
      <c r="A78" s="1" t="s">
        <v>127</v>
      </c>
      <c r="B78">
        <v>23831</v>
      </c>
      <c r="C78">
        <v>835946</v>
      </c>
      <c r="D78">
        <v>20952</v>
      </c>
      <c r="E78">
        <v>821875</v>
      </c>
      <c r="F78">
        <v>0.147426</v>
      </c>
      <c r="G78">
        <v>442147</v>
      </c>
      <c r="H78">
        <v>4.01926</v>
      </c>
      <c r="I78">
        <v>441880</v>
      </c>
      <c r="J78">
        <v>0.313248</v>
      </c>
      <c r="K78">
        <v>489</v>
      </c>
      <c r="L78">
        <v>0</v>
      </c>
      <c r="M78">
        <v>-1</v>
      </c>
      <c r="N78">
        <v>11</v>
      </c>
      <c r="O78">
        <v>0.121693</v>
      </c>
      <c r="P78">
        <v>22</v>
      </c>
      <c r="Q78">
        <v>600</v>
      </c>
      <c r="S78">
        <f t="shared" si="2"/>
        <v>12.080903025471</v>
      </c>
      <c r="T78">
        <f t="shared" si="3"/>
        <v>47.1401262760992</v>
      </c>
    </row>
    <row r="79" spans="1:20">
      <c r="A79" s="1" t="s">
        <v>128</v>
      </c>
      <c r="B79">
        <v>196591</v>
      </c>
      <c r="C79">
        <v>950327</v>
      </c>
      <c r="D79">
        <v>46100</v>
      </c>
      <c r="E79">
        <v>600305</v>
      </c>
      <c r="F79">
        <v>0.130965</v>
      </c>
      <c r="G79">
        <v>281479</v>
      </c>
      <c r="H79">
        <v>1.56308</v>
      </c>
      <c r="I79">
        <v>281261</v>
      </c>
      <c r="J79">
        <v>0.234517</v>
      </c>
      <c r="K79">
        <v>521</v>
      </c>
      <c r="L79">
        <v>0</v>
      </c>
      <c r="M79">
        <v>-1</v>
      </c>
      <c r="N79">
        <v>7</v>
      </c>
      <c r="O79">
        <v>0.12451</v>
      </c>
      <c r="P79">
        <v>13</v>
      </c>
      <c r="Q79">
        <v>600</v>
      </c>
      <c r="S79">
        <f t="shared" si="2"/>
        <v>76.550299861133</v>
      </c>
      <c r="T79">
        <f t="shared" si="3"/>
        <v>70.4037662825533</v>
      </c>
    </row>
    <row r="80" spans="1:20">
      <c r="A80" s="1" t="s">
        <v>129</v>
      </c>
      <c r="B80">
        <v>34</v>
      </c>
      <c r="C80">
        <v>78</v>
      </c>
      <c r="D80">
        <v>13</v>
      </c>
      <c r="E80">
        <v>33</v>
      </c>
      <c r="F80" s="2">
        <v>8e-6</v>
      </c>
      <c r="G80">
        <v>14</v>
      </c>
      <c r="H80" s="2">
        <v>1.9e-5</v>
      </c>
      <c r="I80">
        <v>14</v>
      </c>
      <c r="J80" s="2">
        <v>0.005301</v>
      </c>
      <c r="K80">
        <v>7</v>
      </c>
      <c r="L80">
        <v>0</v>
      </c>
      <c r="M80">
        <v>0.003405</v>
      </c>
      <c r="N80">
        <v>4</v>
      </c>
      <c r="O80" s="2">
        <v>8e-6</v>
      </c>
      <c r="P80">
        <v>4</v>
      </c>
      <c r="Q80">
        <v>0.012946</v>
      </c>
      <c r="S80">
        <f t="shared" si="2"/>
        <v>61.7647058823529</v>
      </c>
      <c r="T80">
        <f t="shared" si="3"/>
        <v>82.051282051282</v>
      </c>
    </row>
    <row r="81" spans="1:20">
      <c r="A81" s="1" t="s">
        <v>131</v>
      </c>
      <c r="B81">
        <v>70068</v>
      </c>
      <c r="C81">
        <v>358647</v>
      </c>
      <c r="D81">
        <v>25016</v>
      </c>
      <c r="E81">
        <v>292909</v>
      </c>
      <c r="F81">
        <v>0.053825</v>
      </c>
      <c r="G81">
        <v>71830</v>
      </c>
      <c r="H81">
        <v>0.58201</v>
      </c>
      <c r="I81">
        <v>71516</v>
      </c>
      <c r="J81">
        <v>0.197656</v>
      </c>
      <c r="K81">
        <v>464</v>
      </c>
      <c r="L81">
        <v>0</v>
      </c>
      <c r="M81">
        <v>-1</v>
      </c>
      <c r="N81">
        <v>4</v>
      </c>
      <c r="O81">
        <v>0.040234</v>
      </c>
      <c r="P81">
        <v>12</v>
      </c>
      <c r="Q81">
        <v>600</v>
      </c>
      <c r="S81">
        <f t="shared" si="2"/>
        <v>64.2975395330251</v>
      </c>
      <c r="T81">
        <f t="shared" si="3"/>
        <v>80.0595014038874</v>
      </c>
    </row>
    <row r="82" spans="1:20">
      <c r="A82" s="1" t="s">
        <v>132</v>
      </c>
      <c r="B82">
        <v>404719</v>
      </c>
      <c r="C82">
        <v>713319</v>
      </c>
      <c r="D82">
        <v>96749</v>
      </c>
      <c r="E82">
        <v>405349</v>
      </c>
      <c r="F82">
        <v>0.124412</v>
      </c>
      <c r="G82">
        <v>49436</v>
      </c>
      <c r="H82">
        <v>0.707086</v>
      </c>
      <c r="I82">
        <v>48873</v>
      </c>
      <c r="J82">
        <v>0.174557</v>
      </c>
      <c r="K82">
        <v>528</v>
      </c>
      <c r="L82">
        <v>0</v>
      </c>
      <c r="M82">
        <v>-1</v>
      </c>
      <c r="N82">
        <v>2</v>
      </c>
      <c r="O82">
        <v>0.118027</v>
      </c>
      <c r="P82">
        <v>3</v>
      </c>
      <c r="Q82">
        <v>600</v>
      </c>
      <c r="S82">
        <f t="shared" si="2"/>
        <v>76.0947719281773</v>
      </c>
      <c r="T82">
        <f t="shared" si="3"/>
        <v>93.1485071896305</v>
      </c>
    </row>
    <row r="83" spans="1:20">
      <c r="A83" s="1" t="s">
        <v>133</v>
      </c>
      <c r="B83">
        <v>889</v>
      </c>
      <c r="C83">
        <v>2914</v>
      </c>
      <c r="D83">
        <v>431</v>
      </c>
      <c r="E83">
        <v>2137</v>
      </c>
      <c r="F83" s="2">
        <v>0.000308</v>
      </c>
      <c r="G83">
        <v>723</v>
      </c>
      <c r="H83">
        <v>0.001323</v>
      </c>
      <c r="I83">
        <v>454</v>
      </c>
      <c r="J83">
        <v>0.075382</v>
      </c>
      <c r="K83">
        <v>527</v>
      </c>
      <c r="L83">
        <v>82</v>
      </c>
      <c r="M83">
        <v>0.007278</v>
      </c>
      <c r="N83">
        <v>4</v>
      </c>
      <c r="O83" s="2">
        <v>0.000178</v>
      </c>
      <c r="P83">
        <v>5</v>
      </c>
      <c r="Q83">
        <v>0.090259</v>
      </c>
      <c r="S83">
        <f t="shared" si="2"/>
        <v>51.5185601799775</v>
      </c>
      <c r="T83">
        <f t="shared" si="3"/>
        <v>84.4200411805079</v>
      </c>
    </row>
    <row r="84" spans="1:20">
      <c r="A84" s="1" t="s">
        <v>134</v>
      </c>
      <c r="B84">
        <v>26475</v>
      </c>
      <c r="C84">
        <v>53381</v>
      </c>
      <c r="D84">
        <v>5696</v>
      </c>
      <c r="E84">
        <v>22287</v>
      </c>
      <c r="F84" s="2">
        <v>0.00465</v>
      </c>
      <c r="G84">
        <v>11604</v>
      </c>
      <c r="H84">
        <v>0.024134</v>
      </c>
      <c r="I84">
        <v>11531</v>
      </c>
      <c r="J84">
        <v>0.158136</v>
      </c>
      <c r="K84">
        <v>2599</v>
      </c>
      <c r="L84">
        <v>0</v>
      </c>
      <c r="M84">
        <v>-1</v>
      </c>
      <c r="N84">
        <v>3</v>
      </c>
      <c r="O84">
        <v>0.002642</v>
      </c>
      <c r="P84">
        <v>7</v>
      </c>
      <c r="Q84">
        <v>600</v>
      </c>
      <c r="S84">
        <f t="shared" si="2"/>
        <v>78.4853635505194</v>
      </c>
      <c r="T84">
        <f t="shared" si="3"/>
        <v>78.3986811786965</v>
      </c>
    </row>
    <row r="85" spans="1:20">
      <c r="A85" s="1" t="s">
        <v>135</v>
      </c>
      <c r="B85">
        <v>40164</v>
      </c>
      <c r="C85">
        <v>85123</v>
      </c>
      <c r="D85">
        <v>9439</v>
      </c>
      <c r="E85">
        <v>39351</v>
      </c>
      <c r="F85">
        <v>0.008454</v>
      </c>
      <c r="G85">
        <v>21641</v>
      </c>
      <c r="H85">
        <v>0.072367</v>
      </c>
      <c r="I85">
        <v>21577</v>
      </c>
      <c r="J85">
        <v>0.168672</v>
      </c>
      <c r="K85">
        <v>2704</v>
      </c>
      <c r="L85">
        <v>0</v>
      </c>
      <c r="M85">
        <v>-1</v>
      </c>
      <c r="N85">
        <v>3</v>
      </c>
      <c r="O85">
        <v>0.005285</v>
      </c>
      <c r="P85">
        <v>6</v>
      </c>
      <c r="Q85">
        <v>600</v>
      </c>
      <c r="S85">
        <f t="shared" si="2"/>
        <v>76.4988546957474</v>
      </c>
      <c r="T85">
        <f t="shared" si="3"/>
        <v>74.6519742020371</v>
      </c>
    </row>
    <row r="86" spans="1:20">
      <c r="A86" s="1" t="s">
        <v>136</v>
      </c>
      <c r="B86">
        <v>62561</v>
      </c>
      <c r="C86">
        <v>147878</v>
      </c>
      <c r="D86">
        <v>24443</v>
      </c>
      <c r="E86">
        <v>100454</v>
      </c>
      <c r="F86">
        <v>0.02023</v>
      </c>
      <c r="G86">
        <v>379</v>
      </c>
      <c r="H86">
        <v>0.034149</v>
      </c>
      <c r="I86">
        <v>90</v>
      </c>
      <c r="J86">
        <v>0.022961</v>
      </c>
      <c r="K86">
        <v>118</v>
      </c>
      <c r="L86">
        <v>0</v>
      </c>
      <c r="M86">
        <v>0.001967</v>
      </c>
      <c r="N86">
        <v>3</v>
      </c>
      <c r="O86">
        <v>0.011959</v>
      </c>
      <c r="P86">
        <v>3</v>
      </c>
      <c r="Q86">
        <v>0.150671</v>
      </c>
      <c r="S86">
        <f t="shared" si="2"/>
        <v>60.9293329710203</v>
      </c>
      <c r="T86">
        <f t="shared" si="3"/>
        <v>99.939139020003</v>
      </c>
    </row>
    <row r="87" spans="1:20">
      <c r="A87" s="1" t="s">
        <v>137</v>
      </c>
      <c r="B87">
        <v>190914</v>
      </c>
      <c r="C87">
        <v>607610</v>
      </c>
      <c r="D87">
        <v>69395</v>
      </c>
      <c r="E87">
        <v>406612</v>
      </c>
      <c r="F87">
        <v>0.095809</v>
      </c>
      <c r="G87">
        <v>113378</v>
      </c>
      <c r="H87">
        <v>0.408958</v>
      </c>
      <c r="I87">
        <v>113142</v>
      </c>
      <c r="J87">
        <v>0.131783</v>
      </c>
      <c r="K87">
        <v>489</v>
      </c>
      <c r="L87">
        <v>0</v>
      </c>
      <c r="M87">
        <v>-1</v>
      </c>
      <c r="N87">
        <v>4</v>
      </c>
      <c r="O87">
        <v>0.066217</v>
      </c>
      <c r="P87">
        <v>8</v>
      </c>
      <c r="Q87">
        <v>600</v>
      </c>
      <c r="S87">
        <f t="shared" si="2"/>
        <v>63.6511727793666</v>
      </c>
      <c r="T87">
        <f t="shared" si="3"/>
        <v>81.3791741413078</v>
      </c>
    </row>
    <row r="88" spans="1:20">
      <c r="A88" s="1" t="s">
        <v>138</v>
      </c>
      <c r="B88">
        <v>2113</v>
      </c>
      <c r="C88">
        <v>6632</v>
      </c>
      <c r="D88">
        <v>131</v>
      </c>
      <c r="E88">
        <v>1299</v>
      </c>
      <c r="F88">
        <v>0.000266</v>
      </c>
      <c r="G88">
        <v>749</v>
      </c>
      <c r="H88">
        <v>0.001554</v>
      </c>
      <c r="I88">
        <v>749</v>
      </c>
      <c r="J88">
        <v>0.107296</v>
      </c>
      <c r="K88">
        <v>615</v>
      </c>
      <c r="L88">
        <v>56</v>
      </c>
      <c r="M88">
        <v>0.043702</v>
      </c>
      <c r="N88">
        <v>11</v>
      </c>
      <c r="O88">
        <v>0.000461</v>
      </c>
      <c r="P88">
        <v>11</v>
      </c>
      <c r="Q88">
        <v>0.160188</v>
      </c>
      <c r="S88">
        <f t="shared" si="2"/>
        <v>93.80028395646</v>
      </c>
      <c r="T88">
        <f t="shared" si="3"/>
        <v>88.7062726176116</v>
      </c>
    </row>
    <row r="89" spans="1:20">
      <c r="A89" s="1" t="s">
        <v>139</v>
      </c>
      <c r="B89">
        <v>7476</v>
      </c>
      <c r="C89">
        <v>56943</v>
      </c>
      <c r="D89">
        <v>979</v>
      </c>
      <c r="E89">
        <v>36169</v>
      </c>
      <c r="F89" s="2">
        <v>0.005711</v>
      </c>
      <c r="G89">
        <v>31503</v>
      </c>
      <c r="H89" s="2">
        <v>0.27805</v>
      </c>
      <c r="I89">
        <v>31430</v>
      </c>
      <c r="J89">
        <v>2.43972</v>
      </c>
      <c r="K89">
        <v>4532</v>
      </c>
      <c r="L89">
        <v>0</v>
      </c>
      <c r="M89">
        <v>-1</v>
      </c>
      <c r="N89">
        <v>17</v>
      </c>
      <c r="O89" s="2">
        <v>0.005518</v>
      </c>
      <c r="P89">
        <v>35</v>
      </c>
      <c r="Q89">
        <v>600</v>
      </c>
      <c r="S89">
        <f t="shared" si="2"/>
        <v>86.9047619047619</v>
      </c>
      <c r="T89">
        <f t="shared" si="3"/>
        <v>44.8044535763834</v>
      </c>
    </row>
    <row r="90" spans="1:20">
      <c r="A90" s="1" t="s">
        <v>140</v>
      </c>
      <c r="B90">
        <v>3031</v>
      </c>
      <c r="C90">
        <v>6474</v>
      </c>
      <c r="D90">
        <v>51</v>
      </c>
      <c r="E90">
        <v>645</v>
      </c>
      <c r="F90">
        <v>0.000258</v>
      </c>
      <c r="G90">
        <v>645</v>
      </c>
      <c r="H90">
        <v>0.000953</v>
      </c>
      <c r="I90">
        <v>645</v>
      </c>
      <c r="J90">
        <v>0.044104</v>
      </c>
      <c r="K90">
        <v>590</v>
      </c>
      <c r="L90">
        <v>348</v>
      </c>
      <c r="M90">
        <v>0.540113</v>
      </c>
      <c r="N90">
        <v>20</v>
      </c>
      <c r="O90">
        <v>0.000583</v>
      </c>
      <c r="P90">
        <v>21</v>
      </c>
      <c r="Q90">
        <v>0.595242</v>
      </c>
      <c r="S90">
        <f t="shared" si="2"/>
        <v>98.3173870009898</v>
      </c>
      <c r="T90">
        <f t="shared" si="3"/>
        <v>90.0370713623726</v>
      </c>
    </row>
    <row r="91" spans="1:20">
      <c r="A91" s="1" t="s">
        <v>141</v>
      </c>
      <c r="B91">
        <v>1299</v>
      </c>
      <c r="C91">
        <v>2773</v>
      </c>
      <c r="D91">
        <v>53</v>
      </c>
      <c r="E91">
        <v>415</v>
      </c>
      <c r="F91" s="4" t="s">
        <v>165</v>
      </c>
      <c r="G91">
        <v>410</v>
      </c>
      <c r="H91">
        <v>0.000389</v>
      </c>
      <c r="I91">
        <v>410</v>
      </c>
      <c r="J91">
        <v>0.029352</v>
      </c>
      <c r="K91">
        <v>78</v>
      </c>
      <c r="L91">
        <v>2</v>
      </c>
      <c r="M91">
        <v>0.010424</v>
      </c>
      <c r="N91">
        <v>15</v>
      </c>
      <c r="O91">
        <v>0.000203</v>
      </c>
      <c r="P91">
        <v>15</v>
      </c>
      <c r="Q91">
        <v>0.043457</v>
      </c>
      <c r="S91">
        <f t="shared" si="2"/>
        <v>95.9199384141647</v>
      </c>
      <c r="T91">
        <f t="shared" si="3"/>
        <v>85.2145690587811</v>
      </c>
    </row>
    <row r="92" spans="1:20">
      <c r="A92" s="1" t="s">
        <v>142</v>
      </c>
      <c r="B92">
        <v>11358</v>
      </c>
      <c r="C92">
        <v>47606</v>
      </c>
      <c r="D92">
        <v>452</v>
      </c>
      <c r="E92">
        <v>8164</v>
      </c>
      <c r="F92">
        <v>0.00116</v>
      </c>
      <c r="G92">
        <v>8129</v>
      </c>
      <c r="H92">
        <v>0.016001</v>
      </c>
      <c r="I92">
        <v>8129</v>
      </c>
      <c r="J92">
        <v>0.512392</v>
      </c>
      <c r="K92">
        <v>4324</v>
      </c>
      <c r="L92">
        <v>1927</v>
      </c>
      <c r="M92">
        <v>67.1633</v>
      </c>
      <c r="N92">
        <v>29</v>
      </c>
      <c r="O92">
        <v>0.001972</v>
      </c>
      <c r="P92">
        <v>30</v>
      </c>
      <c r="Q92">
        <v>68.0888</v>
      </c>
      <c r="S92">
        <f t="shared" si="2"/>
        <v>96.0204261313612</v>
      </c>
      <c r="T92">
        <f t="shared" si="3"/>
        <v>82.9244212914338</v>
      </c>
    </row>
    <row r="93" spans="1:20">
      <c r="A93" s="1" t="s">
        <v>143</v>
      </c>
      <c r="B93">
        <v>643</v>
      </c>
      <c r="C93">
        <v>2280</v>
      </c>
      <c r="D93">
        <v>180</v>
      </c>
      <c r="E93">
        <v>1235</v>
      </c>
      <c r="F93">
        <v>0.000184</v>
      </c>
      <c r="G93">
        <v>506</v>
      </c>
      <c r="H93">
        <v>0.001104</v>
      </c>
      <c r="I93">
        <v>406</v>
      </c>
      <c r="J93">
        <v>0.068162</v>
      </c>
      <c r="K93">
        <v>613</v>
      </c>
      <c r="L93">
        <v>165</v>
      </c>
      <c r="M93">
        <v>0.023202</v>
      </c>
      <c r="N93">
        <v>6</v>
      </c>
      <c r="O93">
        <v>0.000138</v>
      </c>
      <c r="P93">
        <v>7</v>
      </c>
      <c r="Q93">
        <v>0.096339</v>
      </c>
      <c r="S93">
        <f t="shared" si="2"/>
        <v>72.0062208398134</v>
      </c>
      <c r="T93">
        <f t="shared" si="3"/>
        <v>82.1929824561404</v>
      </c>
    </row>
    <row r="94" spans="1:20">
      <c r="A94" s="1" t="s">
        <v>144</v>
      </c>
      <c r="B94">
        <v>121422</v>
      </c>
      <c r="C94">
        <v>334419</v>
      </c>
      <c r="D94">
        <v>977</v>
      </c>
      <c r="E94">
        <v>24040</v>
      </c>
      <c r="F94" s="2">
        <v>0.006124</v>
      </c>
      <c r="G94">
        <v>23689</v>
      </c>
      <c r="H94" s="2">
        <v>0.080165</v>
      </c>
      <c r="I94">
        <v>23689</v>
      </c>
      <c r="J94">
        <v>2.59405</v>
      </c>
      <c r="K94">
        <v>3081</v>
      </c>
      <c r="L94">
        <v>0</v>
      </c>
      <c r="M94">
        <v>-1</v>
      </c>
      <c r="N94">
        <v>26</v>
      </c>
      <c r="O94" s="2">
        <v>0.021522</v>
      </c>
      <c r="P94">
        <v>38</v>
      </c>
      <c r="Q94">
        <v>600</v>
      </c>
      <c r="S94">
        <f t="shared" si="2"/>
        <v>99.1953682199272</v>
      </c>
      <c r="T94">
        <f t="shared" si="3"/>
        <v>92.9163713784205</v>
      </c>
    </row>
    <row r="95" spans="1:20">
      <c r="A95" s="1" t="s">
        <v>145</v>
      </c>
      <c r="B95">
        <v>4767</v>
      </c>
      <c r="C95">
        <v>37375</v>
      </c>
      <c r="D95">
        <v>1986</v>
      </c>
      <c r="E95">
        <v>30096</v>
      </c>
      <c r="F95">
        <v>0.004514</v>
      </c>
      <c r="G95">
        <v>14533</v>
      </c>
      <c r="H95">
        <v>0.072819</v>
      </c>
      <c r="I95">
        <v>14250</v>
      </c>
      <c r="J95">
        <v>0.170857</v>
      </c>
      <c r="K95">
        <v>2293</v>
      </c>
      <c r="L95">
        <v>0</v>
      </c>
      <c r="M95">
        <v>-1</v>
      </c>
      <c r="N95">
        <v>8</v>
      </c>
      <c r="O95">
        <v>0.002952</v>
      </c>
      <c r="P95">
        <v>11</v>
      </c>
      <c r="Q95">
        <v>600</v>
      </c>
      <c r="S95">
        <f t="shared" si="2"/>
        <v>58.3385777218376</v>
      </c>
      <c r="T95">
        <f t="shared" si="3"/>
        <v>61.8729096989967</v>
      </c>
    </row>
    <row r="96" spans="1:20">
      <c r="A96" s="1" t="s">
        <v>146</v>
      </c>
      <c r="B96">
        <v>16062</v>
      </c>
      <c r="C96">
        <v>25593</v>
      </c>
      <c r="D96">
        <v>94</v>
      </c>
      <c r="E96">
        <v>1174</v>
      </c>
      <c r="F96" s="2">
        <v>0.000431</v>
      </c>
      <c r="G96">
        <v>1174</v>
      </c>
      <c r="H96" s="2">
        <v>0.00163</v>
      </c>
      <c r="I96">
        <v>1174</v>
      </c>
      <c r="J96">
        <v>0.114314</v>
      </c>
      <c r="K96">
        <v>2251</v>
      </c>
      <c r="L96">
        <v>1171</v>
      </c>
      <c r="M96">
        <v>4.79418</v>
      </c>
      <c r="N96">
        <v>15</v>
      </c>
      <c r="O96" s="2">
        <v>0.001195</v>
      </c>
      <c r="P96">
        <v>15</v>
      </c>
      <c r="Q96">
        <v>4.93601</v>
      </c>
      <c r="S96">
        <f t="shared" si="2"/>
        <v>99.4147677748724</v>
      </c>
      <c r="T96">
        <f t="shared" si="3"/>
        <v>95.4128081897394</v>
      </c>
    </row>
    <row r="97" spans="17:17">
      <c r="Q97">
        <f>COUNT(Q2:Q96)-COUNTIF(Q2:Q96,"=600")</f>
        <v>59</v>
      </c>
    </row>
  </sheetData>
  <sortState ref="A2:Q96">
    <sortCondition ref="A2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7"/>
  <sheetViews>
    <sheetView tabSelected="1" workbookViewId="0">
      <selection activeCell="U7" sqref="U7"/>
    </sheetView>
  </sheetViews>
  <sheetFormatPr defaultColWidth="9" defaultRowHeight="14"/>
  <cols>
    <col min="1" max="1" width="25.4545454545455" style="1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54545454545454" customWidth="1"/>
    <col min="19" max="20" width="12.8181818181818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17</v>
      </c>
      <c r="T1" t="s">
        <v>18</v>
      </c>
    </row>
    <row r="2" spans="1:20">
      <c r="A2" s="1" t="s">
        <v>19</v>
      </c>
      <c r="B2">
        <v>453</v>
      </c>
      <c r="C2">
        <v>2025</v>
      </c>
      <c r="D2">
        <v>266</v>
      </c>
      <c r="E2">
        <v>1498</v>
      </c>
      <c r="F2">
        <v>0.000204</v>
      </c>
      <c r="G2">
        <v>771</v>
      </c>
      <c r="H2">
        <v>0.001308</v>
      </c>
      <c r="I2">
        <v>710</v>
      </c>
      <c r="J2">
        <v>0.08155</v>
      </c>
      <c r="K2">
        <v>927</v>
      </c>
      <c r="L2">
        <v>141</v>
      </c>
      <c r="M2">
        <v>0.0226</v>
      </c>
      <c r="N2">
        <v>5</v>
      </c>
      <c r="O2">
        <v>0.000119</v>
      </c>
      <c r="P2">
        <v>7</v>
      </c>
      <c r="Q2">
        <v>0.125995</v>
      </c>
      <c r="S2">
        <f t="shared" ref="S2:S65" si="0">(1-D2/B2)*100</f>
        <v>41.280353200883</v>
      </c>
      <c r="T2">
        <f t="shared" ref="T2:T65" si="1">(1-I2/C2)*100</f>
        <v>64.9382716049383</v>
      </c>
    </row>
    <row r="3" spans="1:20">
      <c r="A3" s="1" t="s">
        <v>20</v>
      </c>
      <c r="B3">
        <v>516</v>
      </c>
      <c r="C3">
        <v>1188</v>
      </c>
      <c r="D3">
        <v>25</v>
      </c>
      <c r="E3">
        <v>115</v>
      </c>
      <c r="F3" s="4" t="s">
        <v>152</v>
      </c>
      <c r="G3">
        <v>100</v>
      </c>
      <c r="H3" s="4" t="s">
        <v>167</v>
      </c>
      <c r="I3">
        <v>100</v>
      </c>
      <c r="J3">
        <v>0.010244</v>
      </c>
      <c r="K3">
        <v>24</v>
      </c>
      <c r="L3">
        <v>2</v>
      </c>
      <c r="M3">
        <v>0.05201</v>
      </c>
      <c r="N3">
        <v>9</v>
      </c>
      <c r="O3">
        <v>0.000354</v>
      </c>
      <c r="P3">
        <v>9</v>
      </c>
      <c r="Q3">
        <v>0.065023</v>
      </c>
      <c r="S3">
        <f t="shared" si="0"/>
        <v>95.1550387596899</v>
      </c>
      <c r="T3">
        <f t="shared" si="1"/>
        <v>91.5824915824916</v>
      </c>
    </row>
    <row r="4" spans="1:20">
      <c r="A4" s="1" t="s">
        <v>22</v>
      </c>
      <c r="B4">
        <v>7393</v>
      </c>
      <c r="C4">
        <v>25569</v>
      </c>
      <c r="D4">
        <v>3997</v>
      </c>
      <c r="E4">
        <v>20948</v>
      </c>
      <c r="F4" s="2">
        <v>0.003307</v>
      </c>
      <c r="G4">
        <v>1373</v>
      </c>
      <c r="H4" s="2">
        <v>0.016548</v>
      </c>
      <c r="I4">
        <v>1036</v>
      </c>
      <c r="J4">
        <v>0.070607</v>
      </c>
      <c r="K4">
        <v>288</v>
      </c>
      <c r="L4">
        <v>9</v>
      </c>
      <c r="M4">
        <v>0.121687</v>
      </c>
      <c r="N4">
        <v>3</v>
      </c>
      <c r="O4" s="2">
        <v>0.001795</v>
      </c>
      <c r="P4">
        <v>3</v>
      </c>
      <c r="Q4">
        <v>0.410358</v>
      </c>
      <c r="S4">
        <f t="shared" si="0"/>
        <v>45.9353442445557</v>
      </c>
      <c r="T4">
        <f t="shared" si="1"/>
        <v>95.9482185458954</v>
      </c>
    </row>
    <row r="5" spans="1:20">
      <c r="A5" s="1" t="s">
        <v>23</v>
      </c>
      <c r="B5">
        <v>1458</v>
      </c>
      <c r="C5">
        <v>1948</v>
      </c>
      <c r="D5">
        <v>83</v>
      </c>
      <c r="E5">
        <v>170</v>
      </c>
      <c r="F5" s="4" t="s">
        <v>97</v>
      </c>
      <c r="G5">
        <v>36</v>
      </c>
      <c r="H5" s="4" t="s">
        <v>168</v>
      </c>
      <c r="I5">
        <v>29</v>
      </c>
      <c r="J5">
        <v>0.011832</v>
      </c>
      <c r="K5">
        <v>32</v>
      </c>
      <c r="L5">
        <v>0</v>
      </c>
      <c r="M5">
        <v>0.002897</v>
      </c>
      <c r="N5">
        <v>4</v>
      </c>
      <c r="O5">
        <v>0.000145</v>
      </c>
      <c r="P5">
        <v>4</v>
      </c>
      <c r="Q5">
        <v>0.016975</v>
      </c>
      <c r="S5">
        <f t="shared" si="0"/>
        <v>94.3072702331962</v>
      </c>
      <c r="T5">
        <f t="shared" si="1"/>
        <v>98.5112936344969</v>
      </c>
    </row>
    <row r="6" spans="1:20">
      <c r="A6" s="1" t="s">
        <v>26</v>
      </c>
      <c r="B6">
        <v>17903</v>
      </c>
      <c r="C6">
        <v>196972</v>
      </c>
      <c r="D6">
        <v>3135</v>
      </c>
      <c r="E6">
        <v>86156</v>
      </c>
      <c r="F6">
        <v>0.01558</v>
      </c>
      <c r="G6">
        <v>57428</v>
      </c>
      <c r="H6">
        <v>0.330971</v>
      </c>
      <c r="I6">
        <v>57413</v>
      </c>
      <c r="J6">
        <v>0.788364</v>
      </c>
      <c r="K6">
        <v>837</v>
      </c>
      <c r="L6">
        <v>0</v>
      </c>
      <c r="M6">
        <v>-1</v>
      </c>
      <c r="N6">
        <v>26</v>
      </c>
      <c r="O6">
        <v>0.020654</v>
      </c>
      <c r="P6">
        <v>37</v>
      </c>
      <c r="Q6">
        <v>600</v>
      </c>
      <c r="S6">
        <f t="shared" si="0"/>
        <v>82.4889683293303</v>
      </c>
      <c r="T6">
        <f t="shared" si="1"/>
        <v>70.8522023434803</v>
      </c>
    </row>
    <row r="7" spans="1:20">
      <c r="A7" s="1" t="s">
        <v>27</v>
      </c>
      <c r="B7">
        <v>227320</v>
      </c>
      <c r="C7">
        <v>814134</v>
      </c>
      <c r="D7">
        <v>5211</v>
      </c>
      <c r="E7">
        <v>102750</v>
      </c>
      <c r="F7" s="2">
        <v>0.024623</v>
      </c>
      <c r="G7">
        <v>100526</v>
      </c>
      <c r="H7" s="2">
        <v>0.260767</v>
      </c>
      <c r="I7">
        <v>100526</v>
      </c>
      <c r="J7">
        <v>1.01174</v>
      </c>
      <c r="K7">
        <v>937</v>
      </c>
      <c r="L7">
        <v>0</v>
      </c>
      <c r="M7">
        <v>-1</v>
      </c>
      <c r="N7">
        <v>23</v>
      </c>
      <c r="O7" s="2">
        <v>0.067814</v>
      </c>
      <c r="P7">
        <v>33</v>
      </c>
      <c r="Q7">
        <v>600</v>
      </c>
      <c r="S7">
        <f t="shared" si="0"/>
        <v>97.7076368115432</v>
      </c>
      <c r="T7">
        <f t="shared" si="1"/>
        <v>87.6524012017678</v>
      </c>
    </row>
    <row r="8" spans="1:20">
      <c r="A8" s="1" t="s">
        <v>28</v>
      </c>
      <c r="B8">
        <v>21363</v>
      </c>
      <c r="C8">
        <v>91286</v>
      </c>
      <c r="D8">
        <v>1883</v>
      </c>
      <c r="E8">
        <v>18104</v>
      </c>
      <c r="F8" s="2">
        <v>0.004397</v>
      </c>
      <c r="G8">
        <v>10003</v>
      </c>
      <c r="H8">
        <v>0.024636</v>
      </c>
      <c r="I8">
        <v>9989</v>
      </c>
      <c r="J8" s="2">
        <v>0.18041</v>
      </c>
      <c r="K8">
        <v>3427</v>
      </c>
      <c r="L8">
        <v>1380</v>
      </c>
      <c r="M8">
        <v>42.8859</v>
      </c>
      <c r="N8">
        <v>11</v>
      </c>
      <c r="O8" s="2">
        <v>0.007396</v>
      </c>
      <c r="P8">
        <v>12</v>
      </c>
      <c r="Q8">
        <v>43.2274</v>
      </c>
      <c r="S8">
        <f t="shared" si="0"/>
        <v>91.1856948930394</v>
      </c>
      <c r="T8">
        <f t="shared" si="1"/>
        <v>89.0574677387551</v>
      </c>
    </row>
    <row r="9" spans="1:20">
      <c r="A9" s="1" t="s">
        <v>29</v>
      </c>
      <c r="B9">
        <v>1882</v>
      </c>
      <c r="C9">
        <v>1740</v>
      </c>
      <c r="D9">
        <v>583</v>
      </c>
      <c r="E9">
        <v>524</v>
      </c>
      <c r="F9" s="2">
        <v>0.000136</v>
      </c>
      <c r="G9">
        <v>20</v>
      </c>
      <c r="H9" s="2">
        <v>0.00012</v>
      </c>
      <c r="I9">
        <v>0</v>
      </c>
      <c r="J9">
        <v>0.00763</v>
      </c>
      <c r="K9">
        <v>0</v>
      </c>
      <c r="L9">
        <v>0</v>
      </c>
      <c r="M9">
        <v>0.001507</v>
      </c>
      <c r="N9">
        <v>2</v>
      </c>
      <c r="O9" s="2">
        <v>0.000127</v>
      </c>
      <c r="P9">
        <v>2</v>
      </c>
      <c r="Q9">
        <v>0.010157</v>
      </c>
      <c r="S9">
        <f t="shared" si="0"/>
        <v>69.0223166843783</v>
      </c>
      <c r="T9">
        <f t="shared" si="1"/>
        <v>100</v>
      </c>
    </row>
    <row r="10" spans="1:20">
      <c r="A10" s="1" t="s">
        <v>32</v>
      </c>
      <c r="B10">
        <v>226413</v>
      </c>
      <c r="C10">
        <v>716460</v>
      </c>
      <c r="D10">
        <v>4246</v>
      </c>
      <c r="E10">
        <v>67061</v>
      </c>
      <c r="F10">
        <v>0.019347</v>
      </c>
      <c r="G10">
        <v>65371</v>
      </c>
      <c r="H10">
        <v>0.142423</v>
      </c>
      <c r="I10">
        <v>65369</v>
      </c>
      <c r="J10">
        <v>0.737469</v>
      </c>
      <c r="K10">
        <v>959</v>
      </c>
      <c r="L10">
        <v>0</v>
      </c>
      <c r="M10">
        <v>-1</v>
      </c>
      <c r="N10">
        <v>18</v>
      </c>
      <c r="O10">
        <v>0.059811</v>
      </c>
      <c r="P10">
        <v>28</v>
      </c>
      <c r="Q10">
        <v>600</v>
      </c>
      <c r="S10">
        <f t="shared" si="0"/>
        <v>98.1246659864937</v>
      </c>
      <c r="T10">
        <f t="shared" si="1"/>
        <v>90.876113111688</v>
      </c>
    </row>
    <row r="11" spans="1:20">
      <c r="A11" s="1" t="s">
        <v>33</v>
      </c>
      <c r="B11">
        <v>5094</v>
      </c>
      <c r="C11">
        <v>7515</v>
      </c>
      <c r="D11">
        <v>492</v>
      </c>
      <c r="E11">
        <v>1777</v>
      </c>
      <c r="F11" s="2">
        <v>0.000365</v>
      </c>
      <c r="G11">
        <v>347</v>
      </c>
      <c r="H11">
        <v>0.000804</v>
      </c>
      <c r="I11">
        <v>218</v>
      </c>
      <c r="J11">
        <v>0.056588</v>
      </c>
      <c r="K11">
        <v>242</v>
      </c>
      <c r="L11">
        <v>15</v>
      </c>
      <c r="M11">
        <v>0.03225</v>
      </c>
      <c r="N11">
        <v>4</v>
      </c>
      <c r="O11" s="2">
        <v>0.000375</v>
      </c>
      <c r="P11">
        <v>4</v>
      </c>
      <c r="Q11">
        <v>0.09591</v>
      </c>
      <c r="S11">
        <f t="shared" si="0"/>
        <v>90.3415783274441</v>
      </c>
      <c r="T11">
        <f t="shared" si="1"/>
        <v>97.0991350632069</v>
      </c>
    </row>
    <row r="12" spans="1:20">
      <c r="A12" s="1" t="s">
        <v>34</v>
      </c>
      <c r="B12">
        <v>4158</v>
      </c>
      <c r="C12">
        <v>13422</v>
      </c>
      <c r="D12">
        <v>123</v>
      </c>
      <c r="E12">
        <v>2406</v>
      </c>
      <c r="F12" s="2">
        <v>0.000403</v>
      </c>
      <c r="G12">
        <v>2406</v>
      </c>
      <c r="H12" s="2">
        <v>0.005136</v>
      </c>
      <c r="I12">
        <v>2406</v>
      </c>
      <c r="J12">
        <v>0.406458</v>
      </c>
      <c r="K12">
        <v>2274</v>
      </c>
      <c r="L12">
        <v>642</v>
      </c>
      <c r="M12">
        <v>4.87722</v>
      </c>
      <c r="N12">
        <v>29</v>
      </c>
      <c r="O12" s="2">
        <v>0.000984</v>
      </c>
      <c r="P12">
        <v>29</v>
      </c>
      <c r="Q12">
        <v>5.32939</v>
      </c>
      <c r="S12">
        <f t="shared" si="0"/>
        <v>97.041847041847</v>
      </c>
      <c r="T12">
        <f t="shared" si="1"/>
        <v>82.0742065265981</v>
      </c>
    </row>
    <row r="13" spans="1:20">
      <c r="A13" s="1" t="s">
        <v>35</v>
      </c>
      <c r="B13">
        <v>11204</v>
      </c>
      <c r="C13">
        <v>117619</v>
      </c>
      <c r="D13">
        <v>456</v>
      </c>
      <c r="E13">
        <v>41293</v>
      </c>
      <c r="F13" s="2">
        <v>0.006007</v>
      </c>
      <c r="G13">
        <v>40591</v>
      </c>
      <c r="H13">
        <v>0.587374</v>
      </c>
      <c r="I13">
        <v>40591</v>
      </c>
      <c r="J13">
        <v>145.408</v>
      </c>
      <c r="K13">
        <v>925</v>
      </c>
      <c r="L13">
        <v>0</v>
      </c>
      <c r="M13">
        <v>-1</v>
      </c>
      <c r="N13">
        <v>83</v>
      </c>
      <c r="O13" s="2">
        <v>0.02147</v>
      </c>
      <c r="P13">
        <v>129</v>
      </c>
      <c r="Q13">
        <v>600</v>
      </c>
      <c r="S13">
        <f t="shared" si="0"/>
        <v>95.9300249910746</v>
      </c>
      <c r="T13">
        <f t="shared" si="1"/>
        <v>65.4894192264855</v>
      </c>
    </row>
    <row r="14" spans="1:20">
      <c r="A14" s="1" t="s">
        <v>36</v>
      </c>
      <c r="B14">
        <v>332689</v>
      </c>
      <c r="C14">
        <v>820644</v>
      </c>
      <c r="D14">
        <v>26475</v>
      </c>
      <c r="E14">
        <v>169690</v>
      </c>
      <c r="F14">
        <v>0.055919</v>
      </c>
      <c r="G14">
        <v>33551</v>
      </c>
      <c r="H14">
        <v>0.1315</v>
      </c>
      <c r="I14">
        <v>33427</v>
      </c>
      <c r="J14">
        <v>0.134838</v>
      </c>
      <c r="K14">
        <v>1110</v>
      </c>
      <c r="L14">
        <v>0</v>
      </c>
      <c r="M14">
        <v>-1</v>
      </c>
      <c r="N14">
        <v>7</v>
      </c>
      <c r="O14">
        <v>0.087145</v>
      </c>
      <c r="P14">
        <v>11</v>
      </c>
      <c r="Q14">
        <v>600</v>
      </c>
      <c r="S14">
        <f t="shared" si="0"/>
        <v>92.0421174129592</v>
      </c>
      <c r="T14">
        <f t="shared" si="1"/>
        <v>95.9267355881478</v>
      </c>
    </row>
    <row r="15" spans="1:20">
      <c r="A15" s="1" t="s">
        <v>37</v>
      </c>
      <c r="B15">
        <v>379</v>
      </c>
      <c r="C15">
        <v>914</v>
      </c>
      <c r="D15">
        <v>9</v>
      </c>
      <c r="E15">
        <v>36</v>
      </c>
      <c r="F15" s="2">
        <v>2.2e-5</v>
      </c>
      <c r="G15">
        <v>36</v>
      </c>
      <c r="H15" s="4" t="s">
        <v>155</v>
      </c>
      <c r="I15">
        <v>36</v>
      </c>
      <c r="J15" s="4" t="s">
        <v>25</v>
      </c>
      <c r="K15">
        <v>2</v>
      </c>
      <c r="L15">
        <v>0</v>
      </c>
      <c r="M15">
        <v>0.002184</v>
      </c>
      <c r="N15">
        <v>8</v>
      </c>
      <c r="O15" s="2">
        <v>6.1e-5</v>
      </c>
      <c r="P15">
        <v>8</v>
      </c>
      <c r="Q15">
        <v>0.0138</v>
      </c>
      <c r="S15">
        <f t="shared" si="0"/>
        <v>97.6253298153034</v>
      </c>
      <c r="T15">
        <f t="shared" si="1"/>
        <v>96.0612691466083</v>
      </c>
    </row>
    <row r="16" spans="1:20">
      <c r="A16" s="1" t="s">
        <v>38</v>
      </c>
      <c r="B16">
        <v>32430</v>
      </c>
      <c r="C16">
        <v>54397</v>
      </c>
      <c r="D16">
        <v>2077</v>
      </c>
      <c r="E16">
        <v>18034</v>
      </c>
      <c r="F16">
        <v>0.003333</v>
      </c>
      <c r="G16">
        <v>12157</v>
      </c>
      <c r="H16">
        <v>0.027131</v>
      </c>
      <c r="I16">
        <v>12063</v>
      </c>
      <c r="J16">
        <v>0.148046</v>
      </c>
      <c r="K16">
        <v>2744</v>
      </c>
      <c r="L16">
        <v>0</v>
      </c>
      <c r="M16">
        <v>-1</v>
      </c>
      <c r="N16">
        <v>4</v>
      </c>
      <c r="O16">
        <v>0.002686</v>
      </c>
      <c r="P16">
        <v>7</v>
      </c>
      <c r="Q16">
        <v>600</v>
      </c>
      <c r="S16">
        <f t="shared" si="0"/>
        <v>93.595436324391</v>
      </c>
      <c r="T16">
        <f t="shared" si="1"/>
        <v>77.8241447138629</v>
      </c>
    </row>
    <row r="17" spans="1:20">
      <c r="A17" s="1" t="s">
        <v>39</v>
      </c>
      <c r="B17">
        <v>1133</v>
      </c>
      <c r="C17">
        <v>5451</v>
      </c>
      <c r="D17">
        <v>588</v>
      </c>
      <c r="E17">
        <v>4048</v>
      </c>
      <c r="F17">
        <v>0.000548</v>
      </c>
      <c r="G17">
        <v>776</v>
      </c>
      <c r="H17">
        <v>0.002768</v>
      </c>
      <c r="I17">
        <v>466</v>
      </c>
      <c r="J17">
        <v>0.091491</v>
      </c>
      <c r="K17">
        <v>601</v>
      </c>
      <c r="L17">
        <v>43</v>
      </c>
      <c r="M17">
        <v>0.033218</v>
      </c>
      <c r="N17">
        <v>6</v>
      </c>
      <c r="O17">
        <v>0.000341</v>
      </c>
      <c r="P17">
        <v>7</v>
      </c>
      <c r="Q17">
        <v>0.142977</v>
      </c>
      <c r="S17">
        <f t="shared" si="0"/>
        <v>48.1023830538394</v>
      </c>
      <c r="T17">
        <f t="shared" si="1"/>
        <v>91.4511098880939</v>
      </c>
    </row>
    <row r="18" spans="1:20">
      <c r="A18" s="1" t="s">
        <v>40</v>
      </c>
      <c r="B18">
        <v>33696</v>
      </c>
      <c r="C18">
        <v>180811</v>
      </c>
      <c r="D18">
        <v>7541</v>
      </c>
      <c r="E18">
        <v>118896</v>
      </c>
      <c r="F18">
        <v>0.019728</v>
      </c>
      <c r="G18">
        <v>90403</v>
      </c>
      <c r="H18">
        <v>0.357463</v>
      </c>
      <c r="I18">
        <v>90264</v>
      </c>
      <c r="J18">
        <v>0.209057</v>
      </c>
      <c r="K18">
        <v>568</v>
      </c>
      <c r="L18">
        <v>0</v>
      </c>
      <c r="M18">
        <v>-1</v>
      </c>
      <c r="N18">
        <v>7</v>
      </c>
      <c r="O18">
        <v>0.014028</v>
      </c>
      <c r="P18">
        <v>13</v>
      </c>
      <c r="Q18">
        <v>600</v>
      </c>
      <c r="S18">
        <f t="shared" si="0"/>
        <v>77.6204890788224</v>
      </c>
      <c r="T18">
        <f t="shared" si="1"/>
        <v>50.0782585130329</v>
      </c>
    </row>
    <row r="19" spans="1:20">
      <c r="A19" s="1" t="s">
        <v>41</v>
      </c>
      <c r="B19">
        <v>143</v>
      </c>
      <c r="C19">
        <v>623</v>
      </c>
      <c r="D19">
        <v>80</v>
      </c>
      <c r="E19">
        <v>442</v>
      </c>
      <c r="F19" s="4" t="s">
        <v>169</v>
      </c>
      <c r="G19">
        <v>139</v>
      </c>
      <c r="H19">
        <v>0.000311</v>
      </c>
      <c r="I19">
        <v>105</v>
      </c>
      <c r="J19">
        <v>0.019751</v>
      </c>
      <c r="K19">
        <v>145</v>
      </c>
      <c r="L19">
        <v>13</v>
      </c>
      <c r="M19">
        <v>0.00485</v>
      </c>
      <c r="N19">
        <v>6</v>
      </c>
      <c r="O19" s="4" t="s">
        <v>170</v>
      </c>
      <c r="P19">
        <v>7</v>
      </c>
      <c r="Q19">
        <v>0.029524</v>
      </c>
      <c r="S19">
        <f t="shared" si="0"/>
        <v>44.0559440559441</v>
      </c>
      <c r="T19">
        <f t="shared" si="1"/>
        <v>83.1460674157303</v>
      </c>
    </row>
    <row r="20" spans="1:20">
      <c r="A20" s="1" t="s">
        <v>42</v>
      </c>
      <c r="B20">
        <v>1266</v>
      </c>
      <c r="C20">
        <v>6451</v>
      </c>
      <c r="D20">
        <v>761</v>
      </c>
      <c r="E20">
        <v>5580</v>
      </c>
      <c r="F20">
        <v>0.000788</v>
      </c>
      <c r="G20">
        <v>689</v>
      </c>
      <c r="H20">
        <v>0.003787</v>
      </c>
      <c r="I20">
        <v>141</v>
      </c>
      <c r="J20">
        <v>0.026955</v>
      </c>
      <c r="K20">
        <v>57</v>
      </c>
      <c r="L20">
        <v>0</v>
      </c>
      <c r="M20">
        <v>0.004749</v>
      </c>
      <c r="N20">
        <v>4</v>
      </c>
      <c r="O20">
        <v>0.000424</v>
      </c>
      <c r="P20">
        <v>4</v>
      </c>
      <c r="Q20">
        <v>0.042624</v>
      </c>
      <c r="S20">
        <f t="shared" si="0"/>
        <v>39.8894154818325</v>
      </c>
      <c r="T20">
        <f t="shared" si="1"/>
        <v>97.814292357774</v>
      </c>
    </row>
    <row r="21" spans="1:20">
      <c r="A21" s="1" t="s">
        <v>43</v>
      </c>
      <c r="B21">
        <v>410</v>
      </c>
      <c r="C21">
        <v>2765</v>
      </c>
      <c r="D21">
        <v>149</v>
      </c>
      <c r="E21">
        <v>1327</v>
      </c>
      <c r="F21">
        <v>0.000204</v>
      </c>
      <c r="G21">
        <v>550</v>
      </c>
      <c r="H21">
        <v>0.0016</v>
      </c>
      <c r="I21">
        <v>368</v>
      </c>
      <c r="J21">
        <v>0.048761</v>
      </c>
      <c r="K21">
        <v>161</v>
      </c>
      <c r="L21">
        <v>22</v>
      </c>
      <c r="M21">
        <v>0.063152</v>
      </c>
      <c r="N21">
        <v>11</v>
      </c>
      <c r="O21">
        <v>0.000202</v>
      </c>
      <c r="P21">
        <v>11</v>
      </c>
      <c r="Q21">
        <v>0.155287</v>
      </c>
      <c r="S21">
        <f t="shared" si="0"/>
        <v>63.6585365853659</v>
      </c>
      <c r="T21">
        <f t="shared" si="1"/>
        <v>86.6907775768535</v>
      </c>
    </row>
    <row r="22" spans="1:20">
      <c r="A22" s="1" t="s">
        <v>44</v>
      </c>
      <c r="B22">
        <v>113</v>
      </c>
      <c r="C22">
        <v>2196</v>
      </c>
      <c r="D22">
        <v>112</v>
      </c>
      <c r="E22">
        <v>2195</v>
      </c>
      <c r="F22">
        <v>0.000261</v>
      </c>
      <c r="G22">
        <v>2038</v>
      </c>
      <c r="H22">
        <v>0.005869</v>
      </c>
      <c r="I22">
        <v>1944</v>
      </c>
      <c r="J22">
        <v>0.143007</v>
      </c>
      <c r="K22">
        <v>1111</v>
      </c>
      <c r="L22">
        <v>382</v>
      </c>
      <c r="M22">
        <v>0.067702</v>
      </c>
      <c r="N22">
        <v>9</v>
      </c>
      <c r="O22">
        <v>0.000178</v>
      </c>
      <c r="P22">
        <v>12</v>
      </c>
      <c r="Q22">
        <v>0.226379</v>
      </c>
      <c r="S22">
        <f t="shared" si="0"/>
        <v>0.884955752212391</v>
      </c>
      <c r="T22">
        <f t="shared" si="1"/>
        <v>11.4754098360656</v>
      </c>
    </row>
    <row r="23" spans="1:20">
      <c r="A23" s="1" t="s">
        <v>45</v>
      </c>
      <c r="B23">
        <v>6809</v>
      </c>
      <c r="C23">
        <v>7680</v>
      </c>
      <c r="D23">
        <v>228</v>
      </c>
      <c r="E23">
        <v>805</v>
      </c>
      <c r="F23" s="2">
        <v>0.000206</v>
      </c>
      <c r="G23">
        <v>196</v>
      </c>
      <c r="H23" s="2">
        <v>0.000284</v>
      </c>
      <c r="I23">
        <v>163</v>
      </c>
      <c r="J23">
        <v>0.042084</v>
      </c>
      <c r="K23">
        <v>170</v>
      </c>
      <c r="L23">
        <v>0</v>
      </c>
      <c r="M23">
        <v>0.004099</v>
      </c>
      <c r="N23">
        <v>3</v>
      </c>
      <c r="O23" s="2">
        <v>0.000285</v>
      </c>
      <c r="P23">
        <v>3</v>
      </c>
      <c r="Q23">
        <v>0.056687</v>
      </c>
      <c r="S23">
        <f t="shared" si="0"/>
        <v>96.6514906741078</v>
      </c>
      <c r="T23">
        <f t="shared" si="1"/>
        <v>97.8776041666667</v>
      </c>
    </row>
    <row r="24" spans="1:20">
      <c r="A24" s="1" t="s">
        <v>46</v>
      </c>
      <c r="B24">
        <v>92117</v>
      </c>
      <c r="C24">
        <v>360767</v>
      </c>
      <c r="D24">
        <v>19832</v>
      </c>
      <c r="E24">
        <v>264678</v>
      </c>
      <c r="F24" s="2">
        <v>0.048779</v>
      </c>
      <c r="G24">
        <v>139137</v>
      </c>
      <c r="H24" s="2">
        <v>0.85365</v>
      </c>
      <c r="I24">
        <v>138987</v>
      </c>
      <c r="J24">
        <v>0.182513</v>
      </c>
      <c r="K24">
        <v>547</v>
      </c>
      <c r="L24">
        <v>0</v>
      </c>
      <c r="M24">
        <v>-1</v>
      </c>
      <c r="N24">
        <v>4</v>
      </c>
      <c r="O24" s="2">
        <v>0.038944</v>
      </c>
      <c r="P24">
        <v>10</v>
      </c>
      <c r="Q24">
        <v>600</v>
      </c>
      <c r="S24">
        <f t="shared" si="0"/>
        <v>78.4708577135599</v>
      </c>
      <c r="T24">
        <f t="shared" si="1"/>
        <v>61.4745805464469</v>
      </c>
    </row>
    <row r="25" spans="1:20">
      <c r="A25" s="1" t="s">
        <v>47</v>
      </c>
      <c r="B25">
        <v>4941</v>
      </c>
      <c r="C25">
        <v>6594</v>
      </c>
      <c r="D25">
        <v>107</v>
      </c>
      <c r="E25">
        <v>199</v>
      </c>
      <c r="F25" s="2">
        <v>0.000216</v>
      </c>
      <c r="G25">
        <v>63</v>
      </c>
      <c r="H25" s="2">
        <v>7.9e-5</v>
      </c>
      <c r="I25">
        <v>60</v>
      </c>
      <c r="J25">
        <v>0.015703</v>
      </c>
      <c r="K25">
        <v>54</v>
      </c>
      <c r="L25">
        <v>1</v>
      </c>
      <c r="M25">
        <v>0.003796</v>
      </c>
      <c r="N25">
        <v>4</v>
      </c>
      <c r="O25" s="2">
        <v>0.000464</v>
      </c>
      <c r="P25">
        <v>4</v>
      </c>
      <c r="Q25">
        <v>0.023761</v>
      </c>
      <c r="S25">
        <f t="shared" si="0"/>
        <v>97.8344464683262</v>
      </c>
      <c r="T25">
        <f t="shared" si="1"/>
        <v>99.0900818926297</v>
      </c>
    </row>
    <row r="26" spans="1:20">
      <c r="A26" s="1" t="s">
        <v>49</v>
      </c>
      <c r="B26">
        <v>91813</v>
      </c>
      <c r="C26">
        <v>125704</v>
      </c>
      <c r="D26">
        <v>114</v>
      </c>
      <c r="E26">
        <v>136</v>
      </c>
      <c r="F26" s="2">
        <v>0.003659</v>
      </c>
      <c r="G26">
        <v>0</v>
      </c>
      <c r="H26" s="2">
        <v>2.7e-5</v>
      </c>
      <c r="I26">
        <v>0</v>
      </c>
      <c r="J26">
        <v>0</v>
      </c>
      <c r="K26">
        <v>0</v>
      </c>
      <c r="L26">
        <v>0</v>
      </c>
      <c r="M26">
        <v>0.001367</v>
      </c>
      <c r="N26">
        <v>5</v>
      </c>
      <c r="O26" s="2">
        <v>0.011746</v>
      </c>
      <c r="P26">
        <v>5</v>
      </c>
      <c r="Q26">
        <v>0.049403</v>
      </c>
      <c r="S26">
        <f t="shared" si="0"/>
        <v>99.8758345768028</v>
      </c>
      <c r="T26">
        <f t="shared" si="1"/>
        <v>100</v>
      </c>
    </row>
    <row r="27" spans="1:20">
      <c r="A27" s="1" t="s">
        <v>50</v>
      </c>
      <c r="B27">
        <v>96</v>
      </c>
      <c r="C27">
        <v>117</v>
      </c>
      <c r="D27">
        <v>16</v>
      </c>
      <c r="E27">
        <v>26</v>
      </c>
      <c r="F27" s="4" t="s">
        <v>66</v>
      </c>
      <c r="G27">
        <v>6</v>
      </c>
      <c r="H27" s="4" t="s">
        <v>31</v>
      </c>
      <c r="I27">
        <v>6</v>
      </c>
      <c r="J27">
        <v>0.003413</v>
      </c>
      <c r="K27">
        <v>7</v>
      </c>
      <c r="L27">
        <v>0</v>
      </c>
      <c r="M27">
        <v>0.002414</v>
      </c>
      <c r="N27">
        <v>3</v>
      </c>
      <c r="O27" s="4" t="s">
        <v>31</v>
      </c>
      <c r="P27">
        <v>3</v>
      </c>
      <c r="Q27">
        <v>0.009219</v>
      </c>
      <c r="S27">
        <f t="shared" si="0"/>
        <v>83.3333333333333</v>
      </c>
      <c r="T27">
        <f t="shared" si="1"/>
        <v>94.8717948717949</v>
      </c>
    </row>
    <row r="28" spans="1:20">
      <c r="A28" s="1" t="s">
        <v>52</v>
      </c>
      <c r="B28">
        <v>761</v>
      </c>
      <c r="C28">
        <v>1029</v>
      </c>
      <c r="D28">
        <v>145</v>
      </c>
      <c r="E28">
        <v>322</v>
      </c>
      <c r="F28" s="4" t="s">
        <v>171</v>
      </c>
      <c r="G28">
        <v>77</v>
      </c>
      <c r="H28">
        <v>0.000132</v>
      </c>
      <c r="I28">
        <v>47</v>
      </c>
      <c r="J28">
        <v>0.019364</v>
      </c>
      <c r="K28">
        <v>49</v>
      </c>
      <c r="L28">
        <v>0</v>
      </c>
      <c r="M28">
        <v>0.001952</v>
      </c>
      <c r="N28">
        <v>3</v>
      </c>
      <c r="O28" s="4" t="s">
        <v>162</v>
      </c>
      <c r="P28">
        <v>4</v>
      </c>
      <c r="Q28">
        <v>0.022714</v>
      </c>
      <c r="S28">
        <f t="shared" si="0"/>
        <v>80.946123521682</v>
      </c>
      <c r="T28">
        <f t="shared" si="1"/>
        <v>95.4324586977648</v>
      </c>
    </row>
    <row r="29" spans="1:20">
      <c r="A29" s="1" t="s">
        <v>54</v>
      </c>
      <c r="B29">
        <v>146</v>
      </c>
      <c r="C29">
        <v>9828</v>
      </c>
      <c r="D29">
        <v>139</v>
      </c>
      <c r="E29">
        <v>9291</v>
      </c>
      <c r="F29" s="2">
        <v>0.000944</v>
      </c>
      <c r="G29">
        <v>9291</v>
      </c>
      <c r="H29" s="2">
        <v>0.076803</v>
      </c>
      <c r="I29">
        <v>9291</v>
      </c>
      <c r="J29">
        <v>5.38246</v>
      </c>
      <c r="K29">
        <v>2886</v>
      </c>
      <c r="L29">
        <v>257</v>
      </c>
      <c r="M29">
        <v>25.9931</v>
      </c>
      <c r="N29">
        <v>100</v>
      </c>
      <c r="O29" s="2">
        <v>0.001914</v>
      </c>
      <c r="P29">
        <v>100</v>
      </c>
      <c r="Q29">
        <v>33.1704</v>
      </c>
      <c r="S29">
        <f t="shared" si="0"/>
        <v>4.7945205479452</v>
      </c>
      <c r="T29">
        <f t="shared" si="1"/>
        <v>5.46398046398047</v>
      </c>
    </row>
    <row r="30" spans="1:20">
      <c r="A30" s="1" t="s">
        <v>55</v>
      </c>
      <c r="B30">
        <v>488</v>
      </c>
      <c r="C30">
        <v>71011</v>
      </c>
      <c r="D30">
        <v>413</v>
      </c>
      <c r="E30">
        <v>69788</v>
      </c>
      <c r="F30" s="2">
        <v>0.008098</v>
      </c>
      <c r="G30">
        <v>-1</v>
      </c>
      <c r="H30" s="2">
        <v>2.24523</v>
      </c>
      <c r="I30">
        <v>-1</v>
      </c>
      <c r="J30">
        <v>-1</v>
      </c>
      <c r="K30">
        <v>0</v>
      </c>
      <c r="L30">
        <v>0</v>
      </c>
      <c r="M30">
        <v>-1</v>
      </c>
      <c r="N30">
        <v>129</v>
      </c>
      <c r="O30" s="2">
        <v>0.044295</v>
      </c>
      <c r="P30">
        <v>129</v>
      </c>
      <c r="Q30">
        <v>600</v>
      </c>
      <c r="S30">
        <f t="shared" si="0"/>
        <v>15.3688524590164</v>
      </c>
      <c r="T30">
        <f t="shared" si="1"/>
        <v>100.001408232527</v>
      </c>
    </row>
    <row r="31" spans="1:20">
      <c r="A31" s="1" t="s">
        <v>56</v>
      </c>
      <c r="B31">
        <v>1303</v>
      </c>
      <c r="C31">
        <v>531893</v>
      </c>
      <c r="D31">
        <v>1223</v>
      </c>
      <c r="E31">
        <v>529188</v>
      </c>
      <c r="F31">
        <v>0.072422</v>
      </c>
      <c r="G31">
        <v>529185</v>
      </c>
      <c r="H31">
        <v>60.7421</v>
      </c>
      <c r="I31">
        <v>529185</v>
      </c>
      <c r="J31">
        <v>203.194</v>
      </c>
      <c r="K31">
        <v>0</v>
      </c>
      <c r="L31">
        <v>0</v>
      </c>
      <c r="M31">
        <v>-1</v>
      </c>
      <c r="N31">
        <v>168</v>
      </c>
      <c r="O31">
        <v>0.954079</v>
      </c>
      <c r="P31">
        <v>168</v>
      </c>
      <c r="Q31">
        <v>600</v>
      </c>
      <c r="S31">
        <f t="shared" si="0"/>
        <v>6.13967766692248</v>
      </c>
      <c r="T31">
        <f t="shared" si="1"/>
        <v>0.509124955583173</v>
      </c>
    </row>
    <row r="32" spans="1:20">
      <c r="A32" s="1" t="s">
        <v>57</v>
      </c>
      <c r="B32">
        <v>10972</v>
      </c>
      <c r="C32">
        <v>175573</v>
      </c>
      <c r="D32">
        <v>2183</v>
      </c>
      <c r="E32">
        <v>71066</v>
      </c>
      <c r="F32" s="2">
        <v>0.01175</v>
      </c>
      <c r="G32">
        <v>69253</v>
      </c>
      <c r="H32" s="2">
        <v>0.336917</v>
      </c>
      <c r="I32">
        <v>69243</v>
      </c>
      <c r="J32">
        <v>3.12885</v>
      </c>
      <c r="K32">
        <v>802</v>
      </c>
      <c r="L32">
        <v>0</v>
      </c>
      <c r="M32">
        <v>-1</v>
      </c>
      <c r="N32">
        <v>38</v>
      </c>
      <c r="O32" s="2">
        <v>0.023261</v>
      </c>
      <c r="P32">
        <v>48</v>
      </c>
      <c r="Q32">
        <v>600</v>
      </c>
      <c r="S32">
        <f t="shared" si="0"/>
        <v>80.103900838498</v>
      </c>
      <c r="T32">
        <f t="shared" si="1"/>
        <v>60.5617036788117</v>
      </c>
    </row>
    <row r="33" spans="1:20">
      <c r="A33" s="1" t="s">
        <v>58</v>
      </c>
      <c r="B33">
        <v>113</v>
      </c>
      <c r="C33">
        <v>6222</v>
      </c>
      <c r="D33">
        <v>111</v>
      </c>
      <c r="E33">
        <v>6045</v>
      </c>
      <c r="F33">
        <v>0.000623</v>
      </c>
      <c r="G33">
        <v>6045</v>
      </c>
      <c r="H33">
        <v>0.037485</v>
      </c>
      <c r="I33">
        <v>6045</v>
      </c>
      <c r="J33">
        <v>0.252314</v>
      </c>
      <c r="K33">
        <v>1535</v>
      </c>
      <c r="L33">
        <v>30</v>
      </c>
      <c r="M33">
        <v>7.5655</v>
      </c>
      <c r="N33">
        <v>93</v>
      </c>
      <c r="O33">
        <v>0.000894</v>
      </c>
      <c r="P33">
        <v>93</v>
      </c>
      <c r="Q33">
        <v>8.12639</v>
      </c>
      <c r="S33">
        <f t="shared" si="0"/>
        <v>1.76991150442478</v>
      </c>
      <c r="T33">
        <f t="shared" si="1"/>
        <v>2.84474445515911</v>
      </c>
    </row>
    <row r="34" spans="1:20">
      <c r="A34" s="1" t="s">
        <v>59</v>
      </c>
      <c r="B34">
        <v>1206</v>
      </c>
      <c r="C34">
        <v>65990</v>
      </c>
      <c r="D34">
        <v>541</v>
      </c>
      <c r="E34">
        <v>57408</v>
      </c>
      <c r="F34">
        <v>0.007291</v>
      </c>
      <c r="G34">
        <v>56766</v>
      </c>
      <c r="H34">
        <v>1.20755</v>
      </c>
      <c r="I34">
        <v>56760</v>
      </c>
      <c r="J34">
        <v>143.457</v>
      </c>
      <c r="K34">
        <v>736</v>
      </c>
      <c r="L34">
        <v>0</v>
      </c>
      <c r="M34">
        <v>-1</v>
      </c>
      <c r="N34">
        <v>71</v>
      </c>
      <c r="O34">
        <v>0.021705</v>
      </c>
      <c r="P34">
        <v>104</v>
      </c>
      <c r="Q34">
        <v>600</v>
      </c>
      <c r="S34">
        <f t="shared" si="0"/>
        <v>55.1409618573798</v>
      </c>
      <c r="T34">
        <f t="shared" si="1"/>
        <v>13.9869677223822</v>
      </c>
    </row>
    <row r="35" spans="1:20">
      <c r="A35" s="1" t="s">
        <v>60</v>
      </c>
      <c r="B35">
        <v>17151</v>
      </c>
      <c r="C35">
        <v>24015</v>
      </c>
      <c r="D35">
        <v>384</v>
      </c>
      <c r="E35">
        <v>3009</v>
      </c>
      <c r="F35" s="2">
        <v>0.000966</v>
      </c>
      <c r="G35">
        <v>1890</v>
      </c>
      <c r="H35" s="2">
        <v>0.003652</v>
      </c>
      <c r="I35">
        <v>1864</v>
      </c>
      <c r="J35">
        <v>0.17852</v>
      </c>
      <c r="K35">
        <v>2128</v>
      </c>
      <c r="L35">
        <v>503</v>
      </c>
      <c r="M35">
        <v>1.98296</v>
      </c>
      <c r="N35">
        <v>9</v>
      </c>
      <c r="O35" s="2">
        <v>0.001949</v>
      </c>
      <c r="P35">
        <v>10</v>
      </c>
      <c r="Q35">
        <v>2.30888</v>
      </c>
      <c r="S35">
        <f t="shared" si="0"/>
        <v>97.7610634948399</v>
      </c>
      <c r="T35">
        <f t="shared" si="1"/>
        <v>92.2381844680408</v>
      </c>
    </row>
    <row r="36" spans="1:20">
      <c r="A36" s="1" t="s">
        <v>61</v>
      </c>
      <c r="B36">
        <v>72</v>
      </c>
      <c r="C36">
        <v>355</v>
      </c>
      <c r="D36">
        <v>18</v>
      </c>
      <c r="E36">
        <v>150</v>
      </c>
      <c r="F36" s="2">
        <v>2.3e-5</v>
      </c>
      <c r="G36">
        <v>150</v>
      </c>
      <c r="H36" s="2">
        <v>0.000149</v>
      </c>
      <c r="I36">
        <v>150</v>
      </c>
      <c r="J36" s="4" t="s">
        <v>63</v>
      </c>
      <c r="K36">
        <v>1</v>
      </c>
      <c r="L36">
        <v>0</v>
      </c>
      <c r="M36">
        <v>0.004511</v>
      </c>
      <c r="N36">
        <v>15</v>
      </c>
      <c r="O36" s="2">
        <v>2.9e-5</v>
      </c>
      <c r="P36">
        <v>15</v>
      </c>
      <c r="Q36">
        <v>0.01197</v>
      </c>
      <c r="S36">
        <f t="shared" si="0"/>
        <v>75</v>
      </c>
      <c r="T36">
        <f t="shared" si="1"/>
        <v>57.7464788732394</v>
      </c>
    </row>
    <row r="37" spans="1:20">
      <c r="A37" s="1" t="s">
        <v>65</v>
      </c>
      <c r="B37">
        <v>34</v>
      </c>
      <c r="C37">
        <v>96</v>
      </c>
      <c r="D37">
        <v>12</v>
      </c>
      <c r="E37">
        <v>53</v>
      </c>
      <c r="F37" s="2">
        <v>9e-6</v>
      </c>
      <c r="G37">
        <v>53</v>
      </c>
      <c r="H37" s="2">
        <v>3.4e-5</v>
      </c>
      <c r="I37">
        <v>53</v>
      </c>
      <c r="J37">
        <v>0.002507</v>
      </c>
      <c r="K37">
        <v>22</v>
      </c>
      <c r="L37">
        <v>1</v>
      </c>
      <c r="M37">
        <v>0.004831</v>
      </c>
      <c r="N37">
        <v>7</v>
      </c>
      <c r="O37" s="2">
        <v>9e-6</v>
      </c>
      <c r="P37">
        <v>7</v>
      </c>
      <c r="Q37">
        <v>0.010435</v>
      </c>
      <c r="S37">
        <f t="shared" si="0"/>
        <v>64.7058823529412</v>
      </c>
      <c r="T37">
        <f t="shared" si="1"/>
        <v>44.7916666666667</v>
      </c>
    </row>
    <row r="38" spans="1:20">
      <c r="A38" s="1" t="s">
        <v>67</v>
      </c>
      <c r="B38">
        <v>72</v>
      </c>
      <c r="C38">
        <v>129</v>
      </c>
      <c r="D38">
        <v>12</v>
      </c>
      <c r="E38">
        <v>53</v>
      </c>
      <c r="F38" s="4" t="s">
        <v>48</v>
      </c>
      <c r="G38">
        <v>35</v>
      </c>
      <c r="H38" s="4" t="s">
        <v>69</v>
      </c>
      <c r="I38">
        <v>35</v>
      </c>
      <c r="J38">
        <v>0.004803</v>
      </c>
      <c r="K38">
        <v>7</v>
      </c>
      <c r="L38">
        <v>0</v>
      </c>
      <c r="M38">
        <v>0.003707</v>
      </c>
      <c r="N38">
        <v>7</v>
      </c>
      <c r="O38" s="4" t="s">
        <v>107</v>
      </c>
      <c r="P38">
        <v>7</v>
      </c>
      <c r="Q38">
        <v>0.016689</v>
      </c>
      <c r="S38">
        <f t="shared" si="0"/>
        <v>83.3333333333333</v>
      </c>
      <c r="T38">
        <f t="shared" si="1"/>
        <v>72.8682170542636</v>
      </c>
    </row>
    <row r="39" spans="1:20">
      <c r="A39" s="1" t="s">
        <v>70</v>
      </c>
      <c r="B39">
        <v>80</v>
      </c>
      <c r="C39">
        <v>226</v>
      </c>
      <c r="D39">
        <v>18</v>
      </c>
      <c r="E39">
        <v>103</v>
      </c>
      <c r="F39" s="2">
        <v>3e-5</v>
      </c>
      <c r="G39">
        <v>80</v>
      </c>
      <c r="H39" s="2">
        <v>0.000145</v>
      </c>
      <c r="I39">
        <v>80</v>
      </c>
      <c r="J39">
        <v>0.007595</v>
      </c>
      <c r="K39">
        <v>26</v>
      </c>
      <c r="L39">
        <v>2</v>
      </c>
      <c r="M39">
        <v>0.064507</v>
      </c>
      <c r="N39">
        <v>8</v>
      </c>
      <c r="O39" s="2">
        <v>3e-5</v>
      </c>
      <c r="P39">
        <v>9</v>
      </c>
      <c r="Q39">
        <v>0.079706</v>
      </c>
      <c r="S39">
        <f t="shared" si="0"/>
        <v>77.5</v>
      </c>
      <c r="T39">
        <f t="shared" si="1"/>
        <v>64.6017699115044</v>
      </c>
    </row>
    <row r="40" spans="1:20">
      <c r="A40" s="1" t="s">
        <v>72</v>
      </c>
      <c r="B40">
        <v>34</v>
      </c>
      <c r="C40">
        <v>41</v>
      </c>
      <c r="D40">
        <v>6</v>
      </c>
      <c r="E40">
        <v>14</v>
      </c>
      <c r="F40" s="4" t="s">
        <v>73</v>
      </c>
      <c r="G40">
        <v>14</v>
      </c>
      <c r="H40" s="4" t="s">
        <v>66</v>
      </c>
      <c r="I40">
        <v>14</v>
      </c>
      <c r="J40" s="4" t="s">
        <v>25</v>
      </c>
      <c r="K40">
        <v>2</v>
      </c>
      <c r="L40">
        <v>1</v>
      </c>
      <c r="M40">
        <v>0.006592</v>
      </c>
      <c r="N40">
        <v>4</v>
      </c>
      <c r="O40" s="4" t="s">
        <v>21</v>
      </c>
      <c r="P40">
        <v>4</v>
      </c>
      <c r="Q40">
        <v>0.013036</v>
      </c>
      <c r="S40">
        <f t="shared" si="0"/>
        <v>82.3529411764706</v>
      </c>
      <c r="T40">
        <f t="shared" si="1"/>
        <v>65.8536585365854</v>
      </c>
    </row>
    <row r="41" spans="1:20">
      <c r="A41" s="1" t="s">
        <v>74</v>
      </c>
      <c r="B41">
        <v>31</v>
      </c>
      <c r="C41">
        <v>39</v>
      </c>
      <c r="D41">
        <v>6</v>
      </c>
      <c r="E41">
        <v>15</v>
      </c>
      <c r="F41" s="4" t="s">
        <v>63</v>
      </c>
      <c r="G41">
        <v>15</v>
      </c>
      <c r="H41" s="4" t="s">
        <v>66</v>
      </c>
      <c r="I41">
        <v>15</v>
      </c>
      <c r="J41" s="4" t="s">
        <v>25</v>
      </c>
      <c r="K41">
        <v>1</v>
      </c>
      <c r="L41">
        <v>0</v>
      </c>
      <c r="M41">
        <v>0.002626</v>
      </c>
      <c r="N41">
        <v>5</v>
      </c>
      <c r="O41" s="4" t="s">
        <v>75</v>
      </c>
      <c r="P41">
        <v>5</v>
      </c>
      <c r="Q41">
        <v>0.012548</v>
      </c>
      <c r="S41">
        <f t="shared" si="0"/>
        <v>80.6451612903226</v>
      </c>
      <c r="T41">
        <f t="shared" si="1"/>
        <v>61.5384615384615</v>
      </c>
    </row>
    <row r="42" spans="1:20">
      <c r="A42" s="1" t="s">
        <v>76</v>
      </c>
      <c r="B42">
        <v>135</v>
      </c>
      <c r="C42">
        <v>1078</v>
      </c>
      <c r="D42">
        <v>38</v>
      </c>
      <c r="E42">
        <v>530</v>
      </c>
      <c r="F42" s="4" t="s">
        <v>101</v>
      </c>
      <c r="G42">
        <v>525</v>
      </c>
      <c r="H42">
        <v>0.000894</v>
      </c>
      <c r="I42">
        <v>525</v>
      </c>
      <c r="J42">
        <v>0.01842</v>
      </c>
      <c r="K42">
        <v>111</v>
      </c>
      <c r="L42">
        <v>22</v>
      </c>
      <c r="M42">
        <v>0.027321</v>
      </c>
      <c r="N42">
        <v>19</v>
      </c>
      <c r="O42" s="4" t="s">
        <v>172</v>
      </c>
      <c r="P42">
        <v>19</v>
      </c>
      <c r="Q42">
        <v>0.056772</v>
      </c>
      <c r="S42">
        <f t="shared" si="0"/>
        <v>71.8518518518519</v>
      </c>
      <c r="T42">
        <f t="shared" si="1"/>
        <v>51.2987012987013</v>
      </c>
    </row>
    <row r="43" spans="1:20">
      <c r="A43" s="1" t="s">
        <v>79</v>
      </c>
      <c r="B43">
        <v>13</v>
      </c>
      <c r="C43">
        <v>7</v>
      </c>
      <c r="D43">
        <v>1</v>
      </c>
      <c r="E43">
        <v>0</v>
      </c>
      <c r="F43" s="4" t="s">
        <v>80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0.001997</v>
      </c>
      <c r="N43">
        <v>2</v>
      </c>
      <c r="O43" s="4" t="s">
        <v>84</v>
      </c>
      <c r="P43">
        <v>2</v>
      </c>
      <c r="Q43">
        <v>0.005966</v>
      </c>
      <c r="S43">
        <f t="shared" si="0"/>
        <v>92.3076923076923</v>
      </c>
      <c r="T43">
        <f t="shared" si="1"/>
        <v>100</v>
      </c>
    </row>
    <row r="44" spans="1:20">
      <c r="A44" s="1" t="s">
        <v>81</v>
      </c>
      <c r="B44">
        <v>5</v>
      </c>
      <c r="C44">
        <v>6</v>
      </c>
      <c r="D44">
        <v>4</v>
      </c>
      <c r="E44">
        <v>5</v>
      </c>
      <c r="F44" s="2">
        <v>2e-6</v>
      </c>
      <c r="G44">
        <v>5</v>
      </c>
      <c r="H44" s="4" t="s">
        <v>84</v>
      </c>
      <c r="I44">
        <v>5</v>
      </c>
      <c r="J44">
        <v>0</v>
      </c>
      <c r="K44">
        <v>2</v>
      </c>
      <c r="L44">
        <v>1</v>
      </c>
      <c r="M44">
        <v>0.005184</v>
      </c>
      <c r="N44">
        <v>2</v>
      </c>
      <c r="O44" s="4" t="s">
        <v>80</v>
      </c>
      <c r="P44">
        <v>2</v>
      </c>
      <c r="Q44">
        <v>0.010384</v>
      </c>
      <c r="S44">
        <f t="shared" si="0"/>
        <v>20</v>
      </c>
      <c r="T44">
        <f t="shared" si="1"/>
        <v>16.6666666666667</v>
      </c>
    </row>
    <row r="45" spans="1:20">
      <c r="A45" s="1" t="s">
        <v>83</v>
      </c>
      <c r="B45">
        <v>22</v>
      </c>
      <c r="C45">
        <v>12</v>
      </c>
      <c r="D45">
        <v>2</v>
      </c>
      <c r="E45">
        <v>1</v>
      </c>
      <c r="F45" s="4" t="s">
        <v>84</v>
      </c>
      <c r="G45">
        <v>0</v>
      </c>
      <c r="H45" s="4" t="s">
        <v>84</v>
      </c>
      <c r="I45">
        <v>0</v>
      </c>
      <c r="J45">
        <v>0</v>
      </c>
      <c r="K45">
        <v>0</v>
      </c>
      <c r="L45">
        <v>0</v>
      </c>
      <c r="M45">
        <v>0.002699</v>
      </c>
      <c r="N45">
        <v>2</v>
      </c>
      <c r="O45" s="4" t="s">
        <v>75</v>
      </c>
      <c r="P45">
        <v>2</v>
      </c>
      <c r="Q45">
        <v>0.008244</v>
      </c>
      <c r="S45">
        <f t="shared" si="0"/>
        <v>90.9090909090909</v>
      </c>
      <c r="T45">
        <f t="shared" si="1"/>
        <v>100</v>
      </c>
    </row>
    <row r="46" spans="1:20">
      <c r="A46" s="1" t="s">
        <v>85</v>
      </c>
      <c r="B46">
        <v>62</v>
      </c>
      <c r="C46">
        <v>442</v>
      </c>
      <c r="D46">
        <v>22</v>
      </c>
      <c r="E46">
        <v>207</v>
      </c>
      <c r="F46" s="4" t="s">
        <v>173</v>
      </c>
      <c r="G46">
        <v>168</v>
      </c>
      <c r="H46">
        <v>0.000221</v>
      </c>
      <c r="I46">
        <v>168</v>
      </c>
      <c r="J46">
        <v>0.008072</v>
      </c>
      <c r="K46">
        <v>15</v>
      </c>
      <c r="L46">
        <v>0</v>
      </c>
      <c r="M46">
        <v>0.004882</v>
      </c>
      <c r="N46">
        <v>16</v>
      </c>
      <c r="O46" s="4" t="s">
        <v>174</v>
      </c>
      <c r="P46">
        <v>16</v>
      </c>
      <c r="Q46">
        <v>0.017695</v>
      </c>
      <c r="S46">
        <f t="shared" si="0"/>
        <v>64.5161290322581</v>
      </c>
      <c r="T46">
        <f t="shared" si="1"/>
        <v>61.9909502262443</v>
      </c>
    </row>
    <row r="47" spans="1:20">
      <c r="A47" s="1" t="s">
        <v>87</v>
      </c>
      <c r="B47">
        <v>21</v>
      </c>
      <c r="C47">
        <v>23</v>
      </c>
      <c r="D47">
        <v>6</v>
      </c>
      <c r="E47">
        <v>15</v>
      </c>
      <c r="F47" s="4" t="s">
        <v>84</v>
      </c>
      <c r="G47">
        <v>15</v>
      </c>
      <c r="H47" s="4" t="s">
        <v>82</v>
      </c>
      <c r="I47">
        <v>15</v>
      </c>
      <c r="J47" s="4" t="s">
        <v>25</v>
      </c>
      <c r="K47">
        <v>1</v>
      </c>
      <c r="L47">
        <v>0</v>
      </c>
      <c r="M47">
        <v>0.002495</v>
      </c>
      <c r="N47">
        <v>5</v>
      </c>
      <c r="O47" s="4" t="s">
        <v>63</v>
      </c>
      <c r="P47">
        <v>5</v>
      </c>
      <c r="Q47">
        <v>0.007948</v>
      </c>
      <c r="S47">
        <f t="shared" si="0"/>
        <v>71.4285714285714</v>
      </c>
      <c r="T47">
        <f t="shared" si="1"/>
        <v>34.7826086956522</v>
      </c>
    </row>
    <row r="48" spans="1:20">
      <c r="A48" s="1" t="s">
        <v>88</v>
      </c>
      <c r="B48">
        <v>10</v>
      </c>
      <c r="C48">
        <v>5</v>
      </c>
      <c r="D48">
        <v>0</v>
      </c>
      <c r="E48">
        <v>0</v>
      </c>
      <c r="F48" s="4" t="s">
        <v>25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0.001942</v>
      </c>
      <c r="N48">
        <v>2</v>
      </c>
      <c r="O48" s="4" t="s">
        <v>84</v>
      </c>
      <c r="P48">
        <v>2</v>
      </c>
      <c r="Q48">
        <v>0.005828</v>
      </c>
      <c r="S48">
        <f t="shared" si="0"/>
        <v>100</v>
      </c>
      <c r="T48">
        <f t="shared" si="1"/>
        <v>100</v>
      </c>
    </row>
    <row r="49" spans="1:20">
      <c r="A49" s="1" t="s">
        <v>89</v>
      </c>
      <c r="B49">
        <v>27</v>
      </c>
      <c r="C49">
        <v>26</v>
      </c>
      <c r="D49">
        <v>12</v>
      </c>
      <c r="E49">
        <v>16</v>
      </c>
      <c r="F49" s="2">
        <v>4e-6</v>
      </c>
      <c r="G49">
        <v>13</v>
      </c>
      <c r="H49" s="4" t="s">
        <v>82</v>
      </c>
      <c r="I49">
        <v>10</v>
      </c>
      <c r="J49">
        <v>0.003259</v>
      </c>
      <c r="K49">
        <v>2</v>
      </c>
      <c r="L49">
        <v>1</v>
      </c>
      <c r="M49">
        <v>0.002771</v>
      </c>
      <c r="N49">
        <v>2</v>
      </c>
      <c r="O49" s="2">
        <v>5e-6</v>
      </c>
      <c r="P49">
        <v>3</v>
      </c>
      <c r="Q49">
        <v>0.013144</v>
      </c>
      <c r="S49">
        <f t="shared" si="0"/>
        <v>55.5555555555556</v>
      </c>
      <c r="T49">
        <f t="shared" si="1"/>
        <v>61.5384615384615</v>
      </c>
    </row>
    <row r="50" spans="1:20">
      <c r="A50" s="1" t="s">
        <v>90</v>
      </c>
      <c r="B50">
        <v>273</v>
      </c>
      <c r="C50">
        <v>4510</v>
      </c>
      <c r="D50">
        <v>118</v>
      </c>
      <c r="E50">
        <v>3319</v>
      </c>
      <c r="F50">
        <v>0.000406</v>
      </c>
      <c r="G50">
        <v>3304</v>
      </c>
      <c r="H50">
        <v>0.01301</v>
      </c>
      <c r="I50">
        <v>3303</v>
      </c>
      <c r="J50">
        <v>0.905843</v>
      </c>
      <c r="K50">
        <v>1801</v>
      </c>
      <c r="L50">
        <v>179</v>
      </c>
      <c r="M50">
        <v>0.577628</v>
      </c>
      <c r="N50">
        <v>25</v>
      </c>
      <c r="O50">
        <v>0.000592</v>
      </c>
      <c r="P50">
        <v>32</v>
      </c>
      <c r="Q50">
        <v>1.52971</v>
      </c>
      <c r="S50">
        <f t="shared" si="0"/>
        <v>56.7765567765568</v>
      </c>
      <c r="T50">
        <f t="shared" si="1"/>
        <v>26.7627494456763</v>
      </c>
    </row>
    <row r="51" spans="1:20">
      <c r="A51" s="1" t="s">
        <v>91</v>
      </c>
      <c r="B51">
        <v>102</v>
      </c>
      <c r="C51">
        <v>108</v>
      </c>
      <c r="D51">
        <v>11</v>
      </c>
      <c r="E51">
        <v>33</v>
      </c>
      <c r="F51" s="2">
        <v>8e-6</v>
      </c>
      <c r="G51">
        <v>33</v>
      </c>
      <c r="H51" s="2">
        <v>1.8e-5</v>
      </c>
      <c r="I51">
        <v>33</v>
      </c>
      <c r="J51">
        <v>0.002833</v>
      </c>
      <c r="K51">
        <v>5</v>
      </c>
      <c r="L51">
        <v>1</v>
      </c>
      <c r="M51">
        <v>0.002581</v>
      </c>
      <c r="N51">
        <v>4</v>
      </c>
      <c r="O51" s="2">
        <v>1.1e-5</v>
      </c>
      <c r="P51">
        <v>5</v>
      </c>
      <c r="Q51">
        <v>0.009102</v>
      </c>
      <c r="S51">
        <f t="shared" si="0"/>
        <v>89.2156862745098</v>
      </c>
      <c r="T51">
        <f t="shared" si="1"/>
        <v>69.4444444444444</v>
      </c>
    </row>
    <row r="52" spans="1:20">
      <c r="A52" s="1" t="s">
        <v>93</v>
      </c>
      <c r="B52">
        <v>8</v>
      </c>
      <c r="C52">
        <v>4</v>
      </c>
      <c r="D52">
        <v>0</v>
      </c>
      <c r="E52">
        <v>0</v>
      </c>
      <c r="F52" s="4" t="s">
        <v>25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0.002243</v>
      </c>
      <c r="N52">
        <v>2</v>
      </c>
      <c r="O52" s="4" t="s">
        <v>84</v>
      </c>
      <c r="P52">
        <v>2</v>
      </c>
      <c r="Q52">
        <v>0.010601</v>
      </c>
      <c r="S52">
        <f t="shared" si="0"/>
        <v>100</v>
      </c>
      <c r="T52">
        <f t="shared" si="1"/>
        <v>100</v>
      </c>
    </row>
    <row r="53" spans="1:20">
      <c r="A53" s="1" t="s">
        <v>94</v>
      </c>
      <c r="B53">
        <v>55</v>
      </c>
      <c r="C53">
        <v>60</v>
      </c>
      <c r="D53">
        <v>8</v>
      </c>
      <c r="E53">
        <v>20</v>
      </c>
      <c r="F53" s="4" t="s">
        <v>73</v>
      </c>
      <c r="G53">
        <v>10</v>
      </c>
      <c r="H53" s="4" t="s">
        <v>48</v>
      </c>
      <c r="I53">
        <v>10</v>
      </c>
      <c r="J53">
        <v>0.003013</v>
      </c>
      <c r="K53">
        <v>4</v>
      </c>
      <c r="L53">
        <v>0</v>
      </c>
      <c r="M53">
        <v>0.002662</v>
      </c>
      <c r="N53">
        <v>4</v>
      </c>
      <c r="O53" s="4" t="s">
        <v>82</v>
      </c>
      <c r="P53">
        <v>4</v>
      </c>
      <c r="Q53">
        <v>0.009275</v>
      </c>
      <c r="S53">
        <f t="shared" si="0"/>
        <v>85.4545454545455</v>
      </c>
      <c r="T53">
        <f t="shared" si="1"/>
        <v>83.3333333333333</v>
      </c>
    </row>
    <row r="54" spans="1:20">
      <c r="A54" s="1" t="s">
        <v>95</v>
      </c>
      <c r="B54">
        <v>127</v>
      </c>
      <c r="C54">
        <v>931</v>
      </c>
      <c r="D54">
        <v>42</v>
      </c>
      <c r="E54">
        <v>509</v>
      </c>
      <c r="F54" s="2">
        <v>6.8e-5</v>
      </c>
      <c r="G54">
        <v>504</v>
      </c>
      <c r="H54" s="2">
        <v>0.000784</v>
      </c>
      <c r="I54">
        <v>504</v>
      </c>
      <c r="J54">
        <v>0.027896</v>
      </c>
      <c r="K54">
        <v>161</v>
      </c>
      <c r="L54">
        <v>25</v>
      </c>
      <c r="M54">
        <v>0.010892</v>
      </c>
      <c r="N54">
        <v>15</v>
      </c>
      <c r="O54" s="2">
        <v>7.4e-5</v>
      </c>
      <c r="P54">
        <v>16</v>
      </c>
      <c r="Q54">
        <v>0.04873</v>
      </c>
      <c r="S54">
        <f t="shared" si="0"/>
        <v>66.9291338582677</v>
      </c>
      <c r="T54">
        <f t="shared" si="1"/>
        <v>45.8646616541353</v>
      </c>
    </row>
    <row r="55" spans="1:20">
      <c r="A55" s="1" t="s">
        <v>98</v>
      </c>
      <c r="B55">
        <v>16</v>
      </c>
      <c r="C55">
        <v>13</v>
      </c>
      <c r="D55">
        <v>5</v>
      </c>
      <c r="E55">
        <v>5</v>
      </c>
      <c r="F55" s="4" t="s">
        <v>48</v>
      </c>
      <c r="G55">
        <v>5</v>
      </c>
      <c r="H55" s="4" t="s">
        <v>115</v>
      </c>
      <c r="I55">
        <v>5</v>
      </c>
      <c r="J55" s="4" t="s">
        <v>80</v>
      </c>
      <c r="K55">
        <v>2</v>
      </c>
      <c r="L55">
        <v>1</v>
      </c>
      <c r="M55">
        <v>0.005571</v>
      </c>
      <c r="N55">
        <v>2</v>
      </c>
      <c r="O55" s="4" t="s">
        <v>115</v>
      </c>
      <c r="P55">
        <v>2</v>
      </c>
      <c r="Q55">
        <v>0.040694</v>
      </c>
      <c r="S55">
        <f t="shared" si="0"/>
        <v>68.75</v>
      </c>
      <c r="T55">
        <f t="shared" si="1"/>
        <v>61.5384615384615</v>
      </c>
    </row>
    <row r="56" spans="1:20">
      <c r="A56" s="1" t="s">
        <v>99</v>
      </c>
      <c r="B56">
        <v>35</v>
      </c>
      <c r="C56">
        <v>368</v>
      </c>
      <c r="D56">
        <v>27</v>
      </c>
      <c r="E56">
        <v>351</v>
      </c>
      <c r="F56" s="4" t="s">
        <v>174</v>
      </c>
      <c r="G56">
        <v>351</v>
      </c>
      <c r="H56">
        <v>0.000492</v>
      </c>
      <c r="I56">
        <v>351</v>
      </c>
      <c r="J56" s="4" t="s">
        <v>21</v>
      </c>
      <c r="K56">
        <v>1</v>
      </c>
      <c r="L56">
        <v>0</v>
      </c>
      <c r="M56">
        <v>0.006777</v>
      </c>
      <c r="N56">
        <v>26</v>
      </c>
      <c r="O56" s="4" t="s">
        <v>71</v>
      </c>
      <c r="P56">
        <v>26</v>
      </c>
      <c r="Q56">
        <v>0.019321</v>
      </c>
      <c r="S56">
        <f t="shared" si="0"/>
        <v>22.8571428571429</v>
      </c>
      <c r="T56">
        <f t="shared" si="1"/>
        <v>4.61956521739131</v>
      </c>
    </row>
    <row r="57" spans="1:20">
      <c r="A57" s="1" t="s">
        <v>102</v>
      </c>
      <c r="B57">
        <v>26</v>
      </c>
      <c r="C57">
        <v>15</v>
      </c>
      <c r="D57">
        <v>3</v>
      </c>
      <c r="E57">
        <v>1</v>
      </c>
      <c r="F57" s="4" t="s">
        <v>80</v>
      </c>
      <c r="G57">
        <v>0</v>
      </c>
      <c r="H57" s="4" t="s">
        <v>25</v>
      </c>
      <c r="I57">
        <v>0</v>
      </c>
      <c r="J57">
        <v>0</v>
      </c>
      <c r="K57">
        <v>0</v>
      </c>
      <c r="L57">
        <v>0</v>
      </c>
      <c r="M57">
        <v>0.001828</v>
      </c>
      <c r="N57">
        <v>2</v>
      </c>
      <c r="O57" s="4" t="s">
        <v>84</v>
      </c>
      <c r="P57">
        <v>2</v>
      </c>
      <c r="Q57">
        <v>0.005125</v>
      </c>
      <c r="S57">
        <f t="shared" si="0"/>
        <v>88.4615384615385</v>
      </c>
      <c r="T57">
        <f t="shared" si="1"/>
        <v>100</v>
      </c>
    </row>
    <row r="58" spans="1:20">
      <c r="A58" s="1" t="s">
        <v>103</v>
      </c>
      <c r="B58">
        <v>14</v>
      </c>
      <c r="C58">
        <v>11</v>
      </c>
      <c r="D58">
        <v>5</v>
      </c>
      <c r="E58">
        <v>3</v>
      </c>
      <c r="F58" s="4" t="s">
        <v>21</v>
      </c>
      <c r="G58">
        <v>3</v>
      </c>
      <c r="H58" s="4" t="s">
        <v>82</v>
      </c>
      <c r="I58">
        <v>3</v>
      </c>
      <c r="J58" s="4" t="s">
        <v>25</v>
      </c>
      <c r="K58">
        <v>1</v>
      </c>
      <c r="L58">
        <v>0</v>
      </c>
      <c r="M58">
        <v>0.003006</v>
      </c>
      <c r="N58">
        <v>2</v>
      </c>
      <c r="O58" s="4" t="s">
        <v>66</v>
      </c>
      <c r="P58">
        <v>2</v>
      </c>
      <c r="Q58">
        <v>0.015242</v>
      </c>
      <c r="S58">
        <f t="shared" si="0"/>
        <v>64.2857142857143</v>
      </c>
      <c r="T58">
        <f t="shared" si="1"/>
        <v>72.7272727272727</v>
      </c>
    </row>
    <row r="59" spans="1:20">
      <c r="A59" s="1" t="s">
        <v>104</v>
      </c>
      <c r="B59">
        <v>28</v>
      </c>
      <c r="C59">
        <v>91</v>
      </c>
      <c r="D59">
        <v>12</v>
      </c>
      <c r="E59">
        <v>55</v>
      </c>
      <c r="F59" s="2">
        <v>8e-6</v>
      </c>
      <c r="G59">
        <v>55</v>
      </c>
      <c r="H59" s="4" t="s">
        <v>100</v>
      </c>
      <c r="I59">
        <v>55</v>
      </c>
      <c r="J59">
        <v>0.002461</v>
      </c>
      <c r="K59">
        <v>21</v>
      </c>
      <c r="L59">
        <v>0</v>
      </c>
      <c r="M59">
        <v>0.00257</v>
      </c>
      <c r="N59">
        <v>7</v>
      </c>
      <c r="O59" s="2">
        <v>9e-6</v>
      </c>
      <c r="P59">
        <v>7</v>
      </c>
      <c r="Q59">
        <v>0.008064</v>
      </c>
      <c r="S59">
        <f t="shared" si="0"/>
        <v>57.1428571428571</v>
      </c>
      <c r="T59">
        <f t="shared" si="1"/>
        <v>39.5604395604396</v>
      </c>
    </row>
    <row r="60" spans="1:20">
      <c r="A60" s="1" t="s">
        <v>105</v>
      </c>
      <c r="B60">
        <v>26</v>
      </c>
      <c r="C60">
        <v>18</v>
      </c>
      <c r="D60">
        <v>6</v>
      </c>
      <c r="E60">
        <v>6</v>
      </c>
      <c r="F60" s="4" t="s">
        <v>84</v>
      </c>
      <c r="G60">
        <v>5</v>
      </c>
      <c r="H60" s="4" t="s">
        <v>63</v>
      </c>
      <c r="I60">
        <v>4</v>
      </c>
      <c r="J60">
        <v>0.002688</v>
      </c>
      <c r="K60">
        <v>1</v>
      </c>
      <c r="L60">
        <v>0</v>
      </c>
      <c r="M60">
        <v>0.025976</v>
      </c>
      <c r="N60">
        <v>2</v>
      </c>
      <c r="O60" s="4" t="s">
        <v>63</v>
      </c>
      <c r="P60">
        <v>2</v>
      </c>
      <c r="Q60">
        <v>0.041192</v>
      </c>
      <c r="S60">
        <f t="shared" si="0"/>
        <v>76.9230769230769</v>
      </c>
      <c r="T60">
        <f t="shared" si="1"/>
        <v>77.7777777777778</v>
      </c>
    </row>
    <row r="61" spans="1:20">
      <c r="A61" s="1" t="s">
        <v>108</v>
      </c>
      <c r="B61">
        <v>13</v>
      </c>
      <c r="C61">
        <v>8</v>
      </c>
      <c r="D61">
        <v>2</v>
      </c>
      <c r="E61">
        <v>1</v>
      </c>
      <c r="F61" s="4" t="s">
        <v>84</v>
      </c>
      <c r="G61">
        <v>0</v>
      </c>
      <c r="H61" s="4" t="s">
        <v>84</v>
      </c>
      <c r="I61">
        <v>0</v>
      </c>
      <c r="J61">
        <v>0</v>
      </c>
      <c r="K61">
        <v>0</v>
      </c>
      <c r="L61">
        <v>0</v>
      </c>
      <c r="M61">
        <v>0.002502</v>
      </c>
      <c r="N61">
        <v>2</v>
      </c>
      <c r="O61" s="4" t="s">
        <v>73</v>
      </c>
      <c r="P61">
        <v>2</v>
      </c>
      <c r="Q61">
        <v>0.007154</v>
      </c>
      <c r="S61">
        <f t="shared" si="0"/>
        <v>84.6153846153846</v>
      </c>
      <c r="T61">
        <f t="shared" si="1"/>
        <v>100</v>
      </c>
    </row>
    <row r="62" spans="1:20">
      <c r="A62" s="1" t="s">
        <v>109</v>
      </c>
      <c r="B62">
        <v>18</v>
      </c>
      <c r="C62">
        <v>12</v>
      </c>
      <c r="D62">
        <v>5</v>
      </c>
      <c r="E62">
        <v>3</v>
      </c>
      <c r="F62" s="4" t="s">
        <v>84</v>
      </c>
      <c r="G62">
        <v>3</v>
      </c>
      <c r="H62" s="4" t="s">
        <v>84</v>
      </c>
      <c r="I62">
        <v>3</v>
      </c>
      <c r="J62">
        <v>0</v>
      </c>
      <c r="K62">
        <v>1</v>
      </c>
      <c r="L62">
        <v>0</v>
      </c>
      <c r="M62">
        <v>0.003847</v>
      </c>
      <c r="N62">
        <v>2</v>
      </c>
      <c r="O62" s="4" t="s">
        <v>63</v>
      </c>
      <c r="P62">
        <v>2</v>
      </c>
      <c r="Q62">
        <v>0.012869</v>
      </c>
      <c r="S62">
        <f t="shared" si="0"/>
        <v>72.2222222222222</v>
      </c>
      <c r="T62">
        <f t="shared" si="1"/>
        <v>75</v>
      </c>
    </row>
    <row r="63" spans="1:20">
      <c r="A63" s="1" t="s">
        <v>110</v>
      </c>
      <c r="B63">
        <v>7</v>
      </c>
      <c r="C63">
        <v>5</v>
      </c>
      <c r="D63">
        <v>3</v>
      </c>
      <c r="E63">
        <v>3</v>
      </c>
      <c r="F63" s="4" t="s">
        <v>73</v>
      </c>
      <c r="G63">
        <v>3</v>
      </c>
      <c r="H63" s="4" t="s">
        <v>84</v>
      </c>
      <c r="I63">
        <v>3</v>
      </c>
      <c r="J63">
        <v>0</v>
      </c>
      <c r="K63">
        <v>1</v>
      </c>
      <c r="L63">
        <v>0</v>
      </c>
      <c r="M63">
        <v>0.002569</v>
      </c>
      <c r="N63">
        <v>2</v>
      </c>
      <c r="O63" s="4" t="s">
        <v>75</v>
      </c>
      <c r="P63">
        <v>2</v>
      </c>
      <c r="Q63">
        <v>0.016269</v>
      </c>
      <c r="S63">
        <f t="shared" si="0"/>
        <v>57.1428571428571</v>
      </c>
      <c r="T63">
        <f t="shared" si="1"/>
        <v>40</v>
      </c>
    </row>
    <row r="64" spans="1:20">
      <c r="A64" s="1" t="s">
        <v>111</v>
      </c>
      <c r="B64">
        <v>2623</v>
      </c>
      <c r="C64">
        <v>473614</v>
      </c>
      <c r="D64">
        <v>1356</v>
      </c>
      <c r="E64">
        <v>463254</v>
      </c>
      <c r="F64">
        <v>0.063199</v>
      </c>
      <c r="G64">
        <v>463106</v>
      </c>
      <c r="H64">
        <v>43.3687</v>
      </c>
      <c r="I64">
        <v>463106</v>
      </c>
      <c r="J64">
        <v>451.867</v>
      </c>
      <c r="K64">
        <v>0</v>
      </c>
      <c r="L64">
        <v>0</v>
      </c>
      <c r="M64">
        <v>-1</v>
      </c>
      <c r="N64">
        <v>111</v>
      </c>
      <c r="O64" s="2">
        <v>0.84044</v>
      </c>
      <c r="P64">
        <v>111</v>
      </c>
      <c r="Q64">
        <v>600</v>
      </c>
      <c r="S64">
        <f t="shared" si="0"/>
        <v>48.3034693099504</v>
      </c>
      <c r="T64">
        <f t="shared" si="1"/>
        <v>2.21868441388979</v>
      </c>
    </row>
    <row r="65" spans="1:20">
      <c r="A65" s="1" t="s">
        <v>112</v>
      </c>
      <c r="B65">
        <v>56739</v>
      </c>
      <c r="C65">
        <v>212945</v>
      </c>
      <c r="D65">
        <v>12654</v>
      </c>
      <c r="E65">
        <v>130557</v>
      </c>
      <c r="F65">
        <v>0.02307</v>
      </c>
      <c r="G65">
        <v>57149</v>
      </c>
      <c r="H65">
        <v>0.234793</v>
      </c>
      <c r="I65">
        <v>56987</v>
      </c>
      <c r="J65">
        <v>0.391758</v>
      </c>
      <c r="K65">
        <v>700</v>
      </c>
      <c r="L65">
        <v>0</v>
      </c>
      <c r="M65">
        <v>-1</v>
      </c>
      <c r="N65">
        <v>6</v>
      </c>
      <c r="O65">
        <v>0.017019</v>
      </c>
      <c r="P65">
        <v>16</v>
      </c>
      <c r="Q65">
        <v>600</v>
      </c>
      <c r="S65">
        <f t="shared" si="0"/>
        <v>77.6978797652408</v>
      </c>
      <c r="T65">
        <f t="shared" si="1"/>
        <v>73.2386296931132</v>
      </c>
    </row>
    <row r="66" spans="1:20">
      <c r="A66" s="1" t="s">
        <v>113</v>
      </c>
      <c r="B66">
        <v>62</v>
      </c>
      <c r="C66">
        <v>159</v>
      </c>
      <c r="D66">
        <v>31</v>
      </c>
      <c r="E66">
        <v>90</v>
      </c>
      <c r="F66" s="4" t="s">
        <v>51</v>
      </c>
      <c r="G66">
        <v>0</v>
      </c>
      <c r="H66" s="4" t="s">
        <v>114</v>
      </c>
      <c r="I66">
        <v>0</v>
      </c>
      <c r="J66">
        <v>0</v>
      </c>
      <c r="K66">
        <v>0</v>
      </c>
      <c r="L66">
        <v>0</v>
      </c>
      <c r="M66">
        <v>0.001825</v>
      </c>
      <c r="N66">
        <v>5</v>
      </c>
      <c r="O66" s="4" t="s">
        <v>175</v>
      </c>
      <c r="P66">
        <v>5</v>
      </c>
      <c r="Q66">
        <v>0.009444</v>
      </c>
      <c r="S66">
        <f t="shared" ref="S66:S96" si="2">(1-D66/B66)*100</f>
        <v>50</v>
      </c>
      <c r="T66">
        <f t="shared" ref="T66:T96" si="3">(1-I66/C66)*100</f>
        <v>100</v>
      </c>
    </row>
    <row r="67" spans="1:20">
      <c r="A67" s="1" t="s">
        <v>116</v>
      </c>
      <c r="B67">
        <v>154908</v>
      </c>
      <c r="C67">
        <v>327162</v>
      </c>
      <c r="D67">
        <v>29489</v>
      </c>
      <c r="E67">
        <v>179659</v>
      </c>
      <c r="F67">
        <v>0.036577</v>
      </c>
      <c r="G67">
        <v>23461</v>
      </c>
      <c r="H67">
        <v>0.125626</v>
      </c>
      <c r="I67">
        <v>23118</v>
      </c>
      <c r="J67">
        <v>0.09998</v>
      </c>
      <c r="K67">
        <v>1860</v>
      </c>
      <c r="L67">
        <v>0</v>
      </c>
      <c r="M67">
        <v>-1</v>
      </c>
      <c r="N67">
        <v>3</v>
      </c>
      <c r="O67">
        <v>0.027547</v>
      </c>
      <c r="P67">
        <v>4</v>
      </c>
      <c r="Q67">
        <v>600</v>
      </c>
      <c r="S67">
        <f t="shared" si="2"/>
        <v>80.9635396493402</v>
      </c>
      <c r="T67">
        <f t="shared" si="3"/>
        <v>92.9337759275221</v>
      </c>
    </row>
    <row r="68" spans="1:20">
      <c r="A68" s="1" t="s">
        <v>117</v>
      </c>
      <c r="B68">
        <v>26588</v>
      </c>
      <c r="C68">
        <v>100120</v>
      </c>
      <c r="D68">
        <v>6237</v>
      </c>
      <c r="E68">
        <v>68623</v>
      </c>
      <c r="F68">
        <v>0.011024</v>
      </c>
      <c r="G68">
        <v>30440</v>
      </c>
      <c r="H68">
        <v>0.109918</v>
      </c>
      <c r="I68">
        <v>30209</v>
      </c>
      <c r="J68">
        <v>0.16266</v>
      </c>
      <c r="K68">
        <v>1681</v>
      </c>
      <c r="L68">
        <v>0</v>
      </c>
      <c r="M68">
        <v>-1</v>
      </c>
      <c r="N68">
        <v>5</v>
      </c>
      <c r="O68">
        <v>0.007739</v>
      </c>
      <c r="P68">
        <v>9</v>
      </c>
      <c r="Q68">
        <v>600</v>
      </c>
      <c r="S68">
        <f t="shared" si="2"/>
        <v>76.5420490446818</v>
      </c>
      <c r="T68">
        <f t="shared" si="3"/>
        <v>69.8272073511786</v>
      </c>
    </row>
    <row r="69" spans="1:20">
      <c r="A69" s="1" t="s">
        <v>118</v>
      </c>
      <c r="B69">
        <v>22900</v>
      </c>
      <c r="C69">
        <v>852419</v>
      </c>
      <c r="D69">
        <v>19597</v>
      </c>
      <c r="E69">
        <v>837455</v>
      </c>
      <c r="F69">
        <v>0.143853</v>
      </c>
      <c r="G69">
        <v>477729</v>
      </c>
      <c r="H69">
        <v>4.78737</v>
      </c>
      <c r="I69">
        <v>477459</v>
      </c>
      <c r="J69">
        <v>0.34767</v>
      </c>
      <c r="K69">
        <v>540</v>
      </c>
      <c r="L69">
        <v>0</v>
      </c>
      <c r="M69">
        <v>-1</v>
      </c>
      <c r="N69">
        <v>11</v>
      </c>
      <c r="O69">
        <v>0.129479</v>
      </c>
      <c r="P69">
        <v>11</v>
      </c>
      <c r="Q69">
        <v>600</v>
      </c>
      <c r="S69">
        <f t="shared" si="2"/>
        <v>14.4235807860262</v>
      </c>
      <c r="T69">
        <f t="shared" si="3"/>
        <v>43.9877571945252</v>
      </c>
    </row>
    <row r="70" spans="1:20">
      <c r="A70" s="1" t="s">
        <v>119</v>
      </c>
      <c r="B70">
        <v>6621</v>
      </c>
      <c r="C70">
        <v>249959</v>
      </c>
      <c r="D70">
        <v>5636</v>
      </c>
      <c r="E70">
        <v>245534</v>
      </c>
      <c r="F70">
        <v>0.038597</v>
      </c>
      <c r="G70">
        <v>182874</v>
      </c>
      <c r="H70">
        <v>1.51437</v>
      </c>
      <c r="I70">
        <v>182615</v>
      </c>
      <c r="J70">
        <v>0.415634</v>
      </c>
      <c r="K70">
        <v>461</v>
      </c>
      <c r="L70">
        <v>0</v>
      </c>
      <c r="M70">
        <v>-1</v>
      </c>
      <c r="N70">
        <v>11</v>
      </c>
      <c r="O70">
        <v>0.035637</v>
      </c>
      <c r="P70">
        <v>23</v>
      </c>
      <c r="Q70">
        <v>600</v>
      </c>
      <c r="S70">
        <f t="shared" si="2"/>
        <v>14.8769068116599</v>
      </c>
      <c r="T70">
        <f t="shared" si="3"/>
        <v>26.9420184910325</v>
      </c>
    </row>
    <row r="71" spans="1:20">
      <c r="A71" s="1" t="s">
        <v>120</v>
      </c>
      <c r="B71">
        <v>9885</v>
      </c>
      <c r="C71">
        <v>506437</v>
      </c>
      <c r="D71">
        <v>8750</v>
      </c>
      <c r="E71">
        <v>502140</v>
      </c>
      <c r="F71">
        <v>0.081024</v>
      </c>
      <c r="G71">
        <v>411412</v>
      </c>
      <c r="H71">
        <v>3.75135</v>
      </c>
      <c r="I71">
        <v>411200</v>
      </c>
      <c r="J71">
        <v>0.388356</v>
      </c>
      <c r="K71">
        <v>527</v>
      </c>
      <c r="L71">
        <v>0</v>
      </c>
      <c r="M71">
        <v>-1</v>
      </c>
      <c r="N71">
        <v>10</v>
      </c>
      <c r="O71">
        <v>0.084582</v>
      </c>
      <c r="P71">
        <v>21</v>
      </c>
      <c r="Q71">
        <v>600</v>
      </c>
      <c r="S71">
        <f t="shared" si="2"/>
        <v>11.4820435002529</v>
      </c>
      <c r="T71">
        <f t="shared" si="3"/>
        <v>18.805300560583</v>
      </c>
    </row>
    <row r="72" spans="1:20">
      <c r="A72" s="1" t="s">
        <v>121</v>
      </c>
      <c r="B72">
        <v>6402</v>
      </c>
      <c r="C72">
        <v>251230</v>
      </c>
      <c r="D72">
        <v>5251</v>
      </c>
      <c r="E72">
        <v>246408</v>
      </c>
      <c r="F72">
        <v>0.03909</v>
      </c>
      <c r="G72">
        <v>187297</v>
      </c>
      <c r="H72">
        <v>1.61269</v>
      </c>
      <c r="I72">
        <v>187063</v>
      </c>
      <c r="J72">
        <v>0.390657</v>
      </c>
      <c r="K72">
        <v>470</v>
      </c>
      <c r="L72">
        <v>0</v>
      </c>
      <c r="M72">
        <v>-1</v>
      </c>
      <c r="N72">
        <v>11</v>
      </c>
      <c r="O72">
        <v>0.036463</v>
      </c>
      <c r="P72">
        <v>23</v>
      </c>
      <c r="Q72">
        <v>600</v>
      </c>
      <c r="S72">
        <f t="shared" si="2"/>
        <v>17.9787566385505</v>
      </c>
      <c r="T72">
        <f t="shared" si="3"/>
        <v>25.5411376029933</v>
      </c>
    </row>
    <row r="73" spans="1:20">
      <c r="A73" s="1" t="s">
        <v>122</v>
      </c>
      <c r="B73">
        <v>63392</v>
      </c>
      <c r="C73">
        <v>816886</v>
      </c>
      <c r="D73">
        <v>34031</v>
      </c>
      <c r="E73">
        <v>729402</v>
      </c>
      <c r="F73" s="2">
        <v>0.133727</v>
      </c>
      <c r="G73">
        <v>405806</v>
      </c>
      <c r="H73" s="2">
        <v>2.34107</v>
      </c>
      <c r="I73">
        <v>405568</v>
      </c>
      <c r="J73">
        <v>0.244962</v>
      </c>
      <c r="K73">
        <v>522</v>
      </c>
      <c r="L73">
        <v>0</v>
      </c>
      <c r="M73">
        <v>-1</v>
      </c>
      <c r="N73">
        <v>8</v>
      </c>
      <c r="O73" s="2">
        <v>0.104918</v>
      </c>
      <c r="P73">
        <v>17</v>
      </c>
      <c r="Q73">
        <v>600</v>
      </c>
      <c r="S73">
        <f t="shared" si="2"/>
        <v>46.3165699141848</v>
      </c>
      <c r="T73">
        <f t="shared" si="3"/>
        <v>50.3519462936077</v>
      </c>
    </row>
    <row r="74" spans="1:20">
      <c r="A74" s="1" t="s">
        <v>123</v>
      </c>
      <c r="B74">
        <v>11586</v>
      </c>
      <c r="C74">
        <v>568309</v>
      </c>
      <c r="D74">
        <v>9357</v>
      </c>
      <c r="E74">
        <v>558776</v>
      </c>
      <c r="F74">
        <v>0.094082</v>
      </c>
      <c r="G74">
        <v>440442</v>
      </c>
      <c r="H74">
        <v>4.75453</v>
      </c>
      <c r="I74">
        <v>440208</v>
      </c>
      <c r="J74">
        <v>0.522982</v>
      </c>
      <c r="K74">
        <v>539</v>
      </c>
      <c r="L74">
        <v>0</v>
      </c>
      <c r="M74">
        <v>-1</v>
      </c>
      <c r="N74">
        <v>11</v>
      </c>
      <c r="O74">
        <v>0.105195</v>
      </c>
      <c r="P74">
        <v>11</v>
      </c>
      <c r="Q74">
        <v>600</v>
      </c>
      <c r="S74">
        <f t="shared" si="2"/>
        <v>19.2387364060073</v>
      </c>
      <c r="T74">
        <f t="shared" si="3"/>
        <v>22.5407304828887</v>
      </c>
    </row>
    <row r="75" spans="1:20">
      <c r="A75" s="1" t="s">
        <v>124</v>
      </c>
      <c r="B75">
        <v>20453</v>
      </c>
      <c r="C75">
        <v>747604</v>
      </c>
      <c r="D75">
        <v>16605</v>
      </c>
      <c r="E75">
        <v>727744</v>
      </c>
      <c r="F75">
        <v>0.123631</v>
      </c>
      <c r="G75">
        <v>412981</v>
      </c>
      <c r="H75">
        <v>4.10783</v>
      </c>
      <c r="I75">
        <v>412731</v>
      </c>
      <c r="J75">
        <v>0.464953</v>
      </c>
      <c r="K75">
        <v>562</v>
      </c>
      <c r="L75">
        <v>0</v>
      </c>
      <c r="M75">
        <v>-1</v>
      </c>
      <c r="N75">
        <v>12</v>
      </c>
      <c r="O75">
        <v>0.115827</v>
      </c>
      <c r="P75">
        <v>24</v>
      </c>
      <c r="Q75">
        <v>600</v>
      </c>
      <c r="S75">
        <f t="shared" si="2"/>
        <v>18.8138659365374</v>
      </c>
      <c r="T75">
        <f t="shared" si="3"/>
        <v>44.7928314990289</v>
      </c>
    </row>
    <row r="76" spans="1:20">
      <c r="A76" s="1" t="s">
        <v>125</v>
      </c>
      <c r="B76">
        <v>17206</v>
      </c>
      <c r="C76">
        <v>604867</v>
      </c>
      <c r="D76">
        <v>15391</v>
      </c>
      <c r="E76">
        <v>596940</v>
      </c>
      <c r="F76">
        <v>0.106019</v>
      </c>
      <c r="G76">
        <v>329464</v>
      </c>
      <c r="H76">
        <v>3.20305</v>
      </c>
      <c r="I76">
        <v>329205</v>
      </c>
      <c r="J76">
        <v>0.370504</v>
      </c>
      <c r="K76">
        <v>533</v>
      </c>
      <c r="L76">
        <v>0</v>
      </c>
      <c r="M76">
        <v>-1</v>
      </c>
      <c r="N76">
        <v>10</v>
      </c>
      <c r="O76">
        <v>0.09535</v>
      </c>
      <c r="P76">
        <v>22</v>
      </c>
      <c r="Q76">
        <v>600</v>
      </c>
      <c r="S76">
        <f t="shared" si="2"/>
        <v>10.5486458212252</v>
      </c>
      <c r="T76">
        <f t="shared" si="3"/>
        <v>45.5739856861095</v>
      </c>
    </row>
    <row r="77" spans="1:20">
      <c r="A77" s="1" t="s">
        <v>126</v>
      </c>
      <c r="B77">
        <v>14917</v>
      </c>
      <c r="C77">
        <v>482215</v>
      </c>
      <c r="D77">
        <v>12386</v>
      </c>
      <c r="E77">
        <v>468829</v>
      </c>
      <c r="F77" s="2">
        <v>0.076457</v>
      </c>
      <c r="G77">
        <v>246353</v>
      </c>
      <c r="H77" s="2">
        <v>2.20216</v>
      </c>
      <c r="I77">
        <v>246084</v>
      </c>
      <c r="J77">
        <v>0.496368</v>
      </c>
      <c r="K77">
        <v>519</v>
      </c>
      <c r="L77">
        <v>0</v>
      </c>
      <c r="M77">
        <v>-1</v>
      </c>
      <c r="N77">
        <v>12</v>
      </c>
      <c r="O77" s="2">
        <v>0.066292</v>
      </c>
      <c r="P77">
        <v>25</v>
      </c>
      <c r="Q77">
        <v>600</v>
      </c>
      <c r="S77">
        <f t="shared" si="2"/>
        <v>16.96721860964</v>
      </c>
      <c r="T77">
        <f t="shared" si="3"/>
        <v>48.9679914560932</v>
      </c>
    </row>
    <row r="78" spans="1:20">
      <c r="A78" s="1" t="s">
        <v>127</v>
      </c>
      <c r="B78">
        <v>23831</v>
      </c>
      <c r="C78">
        <v>835946</v>
      </c>
      <c r="D78">
        <v>21219</v>
      </c>
      <c r="E78">
        <v>824515</v>
      </c>
      <c r="F78" s="2">
        <v>0.146667</v>
      </c>
      <c r="G78">
        <v>478601</v>
      </c>
      <c r="H78" s="2">
        <v>4.01072</v>
      </c>
      <c r="I78">
        <v>478358</v>
      </c>
      <c r="J78">
        <v>0.312147</v>
      </c>
      <c r="K78">
        <v>544</v>
      </c>
      <c r="L78">
        <v>0</v>
      </c>
      <c r="M78">
        <v>-1</v>
      </c>
      <c r="N78">
        <v>10</v>
      </c>
      <c r="O78" s="2">
        <v>0.120883</v>
      </c>
      <c r="P78">
        <v>21</v>
      </c>
      <c r="Q78">
        <v>600</v>
      </c>
      <c r="S78">
        <f t="shared" si="2"/>
        <v>10.9605136167177</v>
      </c>
      <c r="T78">
        <f t="shared" si="3"/>
        <v>42.77644728248</v>
      </c>
    </row>
    <row r="79" spans="1:20">
      <c r="A79" s="1" t="s">
        <v>128</v>
      </c>
      <c r="B79">
        <v>196591</v>
      </c>
      <c r="C79">
        <v>950327</v>
      </c>
      <c r="D79">
        <v>56157</v>
      </c>
      <c r="E79">
        <v>653553</v>
      </c>
      <c r="F79">
        <v>0.140283</v>
      </c>
      <c r="G79">
        <v>333082</v>
      </c>
      <c r="H79">
        <v>1.55175</v>
      </c>
      <c r="I79">
        <v>332907</v>
      </c>
      <c r="J79">
        <v>0.218436</v>
      </c>
      <c r="K79">
        <v>591</v>
      </c>
      <c r="L79">
        <v>0</v>
      </c>
      <c r="M79">
        <v>-1</v>
      </c>
      <c r="N79">
        <v>6</v>
      </c>
      <c r="O79">
        <v>0.103028</v>
      </c>
      <c r="P79">
        <v>12</v>
      </c>
      <c r="Q79">
        <v>600</v>
      </c>
      <c r="S79">
        <f t="shared" si="2"/>
        <v>71.434602804808</v>
      </c>
      <c r="T79">
        <f t="shared" si="3"/>
        <v>64.9692158593831</v>
      </c>
    </row>
    <row r="80" spans="1:20">
      <c r="A80" s="1" t="s">
        <v>129</v>
      </c>
      <c r="B80">
        <v>34</v>
      </c>
      <c r="C80">
        <v>78</v>
      </c>
      <c r="D80">
        <v>13</v>
      </c>
      <c r="E80">
        <v>33</v>
      </c>
      <c r="F80" s="2">
        <v>8e-6</v>
      </c>
      <c r="G80">
        <v>14</v>
      </c>
      <c r="H80" s="2">
        <v>1.9e-5</v>
      </c>
      <c r="I80">
        <v>14</v>
      </c>
      <c r="J80">
        <v>0.005215</v>
      </c>
      <c r="K80">
        <v>7</v>
      </c>
      <c r="L80">
        <v>0</v>
      </c>
      <c r="M80">
        <v>0.003527</v>
      </c>
      <c r="N80">
        <v>4</v>
      </c>
      <c r="O80" s="2">
        <v>1.8e-5</v>
      </c>
      <c r="P80">
        <v>4</v>
      </c>
      <c r="Q80">
        <v>0.013223</v>
      </c>
      <c r="S80">
        <f t="shared" si="2"/>
        <v>61.7647058823529</v>
      </c>
      <c r="T80">
        <f t="shared" si="3"/>
        <v>82.051282051282</v>
      </c>
    </row>
    <row r="81" spans="1:20">
      <c r="A81" s="1" t="s">
        <v>131</v>
      </c>
      <c r="B81">
        <v>70068</v>
      </c>
      <c r="C81">
        <v>358647</v>
      </c>
      <c r="D81">
        <v>31332</v>
      </c>
      <c r="E81">
        <v>310453</v>
      </c>
      <c r="F81" s="2">
        <v>0.05649</v>
      </c>
      <c r="G81">
        <v>101882</v>
      </c>
      <c r="H81">
        <v>0.606323</v>
      </c>
      <c r="I81">
        <v>101655</v>
      </c>
      <c r="J81">
        <v>0.184712</v>
      </c>
      <c r="K81">
        <v>530</v>
      </c>
      <c r="L81">
        <v>0</v>
      </c>
      <c r="M81">
        <v>-1</v>
      </c>
      <c r="N81">
        <v>3</v>
      </c>
      <c r="O81" s="2">
        <v>0.040361</v>
      </c>
      <c r="P81">
        <v>11</v>
      </c>
      <c r="Q81">
        <v>600</v>
      </c>
      <c r="S81">
        <f t="shared" si="2"/>
        <v>55.2834389450248</v>
      </c>
      <c r="T81">
        <f t="shared" si="3"/>
        <v>71.6559737011602</v>
      </c>
    </row>
    <row r="82" spans="1:20">
      <c r="A82" s="1" t="s">
        <v>132</v>
      </c>
      <c r="B82">
        <v>404719</v>
      </c>
      <c r="C82">
        <v>713319</v>
      </c>
      <c r="D82">
        <v>96749</v>
      </c>
      <c r="E82">
        <v>405349</v>
      </c>
      <c r="F82">
        <v>0.096439</v>
      </c>
      <c r="G82">
        <v>49436</v>
      </c>
      <c r="H82">
        <v>0.531528</v>
      </c>
      <c r="I82">
        <v>48889</v>
      </c>
      <c r="J82">
        <v>0.144375</v>
      </c>
      <c r="K82">
        <v>668</v>
      </c>
      <c r="L82">
        <v>0</v>
      </c>
      <c r="M82">
        <v>-1</v>
      </c>
      <c r="N82">
        <v>2</v>
      </c>
      <c r="O82">
        <v>0.064112</v>
      </c>
      <c r="P82">
        <v>3</v>
      </c>
      <c r="Q82">
        <v>600</v>
      </c>
      <c r="S82">
        <f t="shared" si="2"/>
        <v>76.0947719281773</v>
      </c>
      <c r="T82">
        <f t="shared" si="3"/>
        <v>93.1462641539059</v>
      </c>
    </row>
    <row r="83" spans="1:20">
      <c r="A83" s="1" t="s">
        <v>133</v>
      </c>
      <c r="B83">
        <v>889</v>
      </c>
      <c r="C83">
        <v>2914</v>
      </c>
      <c r="D83">
        <v>431</v>
      </c>
      <c r="E83">
        <v>2137</v>
      </c>
      <c r="F83" s="2">
        <v>0.000306</v>
      </c>
      <c r="G83">
        <v>723</v>
      </c>
      <c r="H83">
        <v>0.001309</v>
      </c>
      <c r="I83">
        <v>454</v>
      </c>
      <c r="J83">
        <v>0.080159</v>
      </c>
      <c r="K83">
        <v>527</v>
      </c>
      <c r="L83">
        <v>82</v>
      </c>
      <c r="M83">
        <v>0.00806</v>
      </c>
      <c r="N83">
        <v>4</v>
      </c>
      <c r="O83" s="2">
        <v>0.000179</v>
      </c>
      <c r="P83">
        <v>5</v>
      </c>
      <c r="Q83">
        <v>0.1132</v>
      </c>
      <c r="S83">
        <f t="shared" si="2"/>
        <v>51.5185601799775</v>
      </c>
      <c r="T83">
        <f t="shared" si="3"/>
        <v>84.4200411805079</v>
      </c>
    </row>
    <row r="84" spans="1:20">
      <c r="A84" s="1" t="s">
        <v>134</v>
      </c>
      <c r="B84">
        <v>26475</v>
      </c>
      <c r="C84">
        <v>53381</v>
      </c>
      <c r="D84">
        <v>5696</v>
      </c>
      <c r="E84">
        <v>22287</v>
      </c>
      <c r="F84">
        <v>0.004677</v>
      </c>
      <c r="G84">
        <v>11604</v>
      </c>
      <c r="H84">
        <v>0.024114</v>
      </c>
      <c r="I84">
        <v>11549</v>
      </c>
      <c r="J84">
        <v>0.164521</v>
      </c>
      <c r="K84">
        <v>2245</v>
      </c>
      <c r="L84">
        <v>0</v>
      </c>
      <c r="M84">
        <v>-1</v>
      </c>
      <c r="N84">
        <v>3</v>
      </c>
      <c r="O84">
        <v>0.002642</v>
      </c>
      <c r="P84">
        <v>7</v>
      </c>
      <c r="Q84">
        <v>600</v>
      </c>
      <c r="S84">
        <f t="shared" si="2"/>
        <v>78.4853635505194</v>
      </c>
      <c r="T84">
        <f t="shared" si="3"/>
        <v>78.364961315824</v>
      </c>
    </row>
    <row r="85" spans="1:20">
      <c r="A85" s="1" t="s">
        <v>135</v>
      </c>
      <c r="B85">
        <v>40164</v>
      </c>
      <c r="C85">
        <v>85123</v>
      </c>
      <c r="D85">
        <v>9439</v>
      </c>
      <c r="E85">
        <v>39351</v>
      </c>
      <c r="F85">
        <v>0.008665</v>
      </c>
      <c r="G85">
        <v>21641</v>
      </c>
      <c r="H85">
        <v>0.072836</v>
      </c>
      <c r="I85">
        <v>21589</v>
      </c>
      <c r="J85">
        <v>0.1805</v>
      </c>
      <c r="K85">
        <v>2307</v>
      </c>
      <c r="L85">
        <v>0</v>
      </c>
      <c r="M85">
        <v>-1</v>
      </c>
      <c r="N85">
        <v>3</v>
      </c>
      <c r="O85">
        <v>0.005509</v>
      </c>
      <c r="P85">
        <v>6</v>
      </c>
      <c r="Q85">
        <v>600</v>
      </c>
      <c r="S85">
        <f t="shared" si="2"/>
        <v>76.4988546957474</v>
      </c>
      <c r="T85">
        <f t="shared" si="3"/>
        <v>74.6378769545246</v>
      </c>
    </row>
    <row r="86" spans="1:20">
      <c r="A86" s="1" t="s">
        <v>136</v>
      </c>
      <c r="B86">
        <v>62561</v>
      </c>
      <c r="C86">
        <v>147878</v>
      </c>
      <c r="D86">
        <v>24443</v>
      </c>
      <c r="E86">
        <v>100454</v>
      </c>
      <c r="F86">
        <v>0.020305</v>
      </c>
      <c r="G86">
        <v>379</v>
      </c>
      <c r="H86">
        <v>0.033875</v>
      </c>
      <c r="I86">
        <v>90</v>
      </c>
      <c r="J86">
        <v>0.024349</v>
      </c>
      <c r="K86">
        <v>118</v>
      </c>
      <c r="L86">
        <v>0</v>
      </c>
      <c r="M86">
        <v>0.002441</v>
      </c>
      <c r="N86">
        <v>3</v>
      </c>
      <c r="O86">
        <v>0.015995</v>
      </c>
      <c r="P86">
        <v>3</v>
      </c>
      <c r="Q86">
        <v>0.204995</v>
      </c>
      <c r="S86">
        <f t="shared" si="2"/>
        <v>60.9293329710203</v>
      </c>
      <c r="T86">
        <f t="shared" si="3"/>
        <v>99.939139020003</v>
      </c>
    </row>
    <row r="87" spans="1:20">
      <c r="A87" s="1" t="s">
        <v>137</v>
      </c>
      <c r="B87">
        <v>190914</v>
      </c>
      <c r="C87">
        <v>607610</v>
      </c>
      <c r="D87">
        <v>69395</v>
      </c>
      <c r="E87">
        <v>406612</v>
      </c>
      <c r="F87">
        <v>0.096296</v>
      </c>
      <c r="G87">
        <v>113378</v>
      </c>
      <c r="H87">
        <v>0.400606</v>
      </c>
      <c r="I87">
        <v>113152</v>
      </c>
      <c r="J87">
        <v>0.136956</v>
      </c>
      <c r="K87">
        <v>508</v>
      </c>
      <c r="L87">
        <v>0</v>
      </c>
      <c r="M87">
        <v>-1</v>
      </c>
      <c r="N87">
        <v>4</v>
      </c>
      <c r="O87">
        <v>0.071535</v>
      </c>
      <c r="P87">
        <v>8</v>
      </c>
      <c r="Q87">
        <v>600</v>
      </c>
      <c r="S87">
        <f t="shared" si="2"/>
        <v>63.6511727793666</v>
      </c>
      <c r="T87">
        <f t="shared" si="3"/>
        <v>81.3775283487764</v>
      </c>
    </row>
    <row r="88" spans="1:20">
      <c r="A88" s="1" t="s">
        <v>138</v>
      </c>
      <c r="B88">
        <v>2113</v>
      </c>
      <c r="C88">
        <v>6632</v>
      </c>
      <c r="D88">
        <v>165</v>
      </c>
      <c r="E88">
        <v>1558</v>
      </c>
      <c r="F88" s="2">
        <v>0.000312</v>
      </c>
      <c r="G88">
        <v>833</v>
      </c>
      <c r="H88" s="2">
        <v>0.00183</v>
      </c>
      <c r="I88">
        <v>831</v>
      </c>
      <c r="J88">
        <v>0.127637</v>
      </c>
      <c r="K88">
        <v>1153</v>
      </c>
      <c r="L88">
        <v>148</v>
      </c>
      <c r="M88">
        <v>0.148862</v>
      </c>
      <c r="N88">
        <v>10</v>
      </c>
      <c r="O88" s="2">
        <v>0.000464</v>
      </c>
      <c r="P88">
        <v>10</v>
      </c>
      <c r="Q88">
        <v>0.288053</v>
      </c>
      <c r="S88">
        <f t="shared" si="2"/>
        <v>92.1911973497397</v>
      </c>
      <c r="T88">
        <f t="shared" si="3"/>
        <v>87.4698431845597</v>
      </c>
    </row>
    <row r="89" spans="1:20">
      <c r="A89" s="1" t="s">
        <v>139</v>
      </c>
      <c r="B89">
        <v>7476</v>
      </c>
      <c r="C89">
        <v>56943</v>
      </c>
      <c r="D89">
        <v>1034</v>
      </c>
      <c r="E89">
        <v>36994</v>
      </c>
      <c r="F89">
        <v>0.005847</v>
      </c>
      <c r="G89">
        <v>32918</v>
      </c>
      <c r="H89">
        <v>0.285909</v>
      </c>
      <c r="I89">
        <v>32867</v>
      </c>
      <c r="J89">
        <v>2.39316</v>
      </c>
      <c r="K89">
        <v>2335</v>
      </c>
      <c r="L89">
        <v>0</v>
      </c>
      <c r="M89">
        <v>-1</v>
      </c>
      <c r="N89">
        <v>15</v>
      </c>
      <c r="O89">
        <v>0.005567</v>
      </c>
      <c r="P89">
        <v>36</v>
      </c>
      <c r="Q89">
        <v>600</v>
      </c>
      <c r="S89">
        <f t="shared" si="2"/>
        <v>86.1690743713216</v>
      </c>
      <c r="T89">
        <f t="shared" si="3"/>
        <v>42.2808773685967</v>
      </c>
    </row>
    <row r="90" spans="1:20">
      <c r="A90" s="1" t="s">
        <v>140</v>
      </c>
      <c r="B90">
        <v>3031</v>
      </c>
      <c r="C90">
        <v>6474</v>
      </c>
      <c r="D90">
        <v>51</v>
      </c>
      <c r="E90">
        <v>645</v>
      </c>
      <c r="F90" s="2">
        <v>0.000112</v>
      </c>
      <c r="G90">
        <v>645</v>
      </c>
      <c r="H90" s="2">
        <v>0.00088</v>
      </c>
      <c r="I90">
        <v>645</v>
      </c>
      <c r="J90">
        <v>0.042978</v>
      </c>
      <c r="K90">
        <v>434</v>
      </c>
      <c r="L90">
        <v>190</v>
      </c>
      <c r="M90">
        <v>0.330253</v>
      </c>
      <c r="N90">
        <v>19</v>
      </c>
      <c r="O90" s="2">
        <v>0.000258</v>
      </c>
      <c r="P90">
        <v>19</v>
      </c>
      <c r="Q90">
        <v>0.382793</v>
      </c>
      <c r="S90">
        <f t="shared" si="2"/>
        <v>98.3173870009898</v>
      </c>
      <c r="T90">
        <f t="shared" si="3"/>
        <v>90.0370713623726</v>
      </c>
    </row>
    <row r="91" spans="1:20">
      <c r="A91" s="1" t="s">
        <v>141</v>
      </c>
      <c r="B91">
        <v>1299</v>
      </c>
      <c r="C91">
        <v>2773</v>
      </c>
      <c r="D91">
        <v>53</v>
      </c>
      <c r="E91">
        <v>415</v>
      </c>
      <c r="F91" s="4" t="s">
        <v>78</v>
      </c>
      <c r="G91">
        <v>410</v>
      </c>
      <c r="H91">
        <v>0.000387</v>
      </c>
      <c r="I91">
        <v>410</v>
      </c>
      <c r="J91">
        <v>0.026628</v>
      </c>
      <c r="K91">
        <v>79</v>
      </c>
      <c r="L91">
        <v>2</v>
      </c>
      <c r="M91">
        <v>0.009215</v>
      </c>
      <c r="N91">
        <v>15</v>
      </c>
      <c r="O91">
        <v>0.000229</v>
      </c>
      <c r="P91">
        <v>15</v>
      </c>
      <c r="Q91">
        <v>0.041326</v>
      </c>
      <c r="S91">
        <f t="shared" si="2"/>
        <v>95.9199384141647</v>
      </c>
      <c r="T91">
        <f t="shared" si="3"/>
        <v>85.2145690587811</v>
      </c>
    </row>
    <row r="92" spans="1:20">
      <c r="A92" s="1" t="s">
        <v>142</v>
      </c>
      <c r="B92">
        <v>11358</v>
      </c>
      <c r="C92">
        <v>47606</v>
      </c>
      <c r="D92">
        <v>452</v>
      </c>
      <c r="E92">
        <v>8164</v>
      </c>
      <c r="F92">
        <v>0.001174</v>
      </c>
      <c r="G92">
        <v>8129</v>
      </c>
      <c r="H92">
        <v>0.015701</v>
      </c>
      <c r="I92">
        <v>8129</v>
      </c>
      <c r="J92">
        <v>0.511359</v>
      </c>
      <c r="K92">
        <v>4728</v>
      </c>
      <c r="L92">
        <v>2910</v>
      </c>
      <c r="M92">
        <v>209.447</v>
      </c>
      <c r="N92">
        <v>28</v>
      </c>
      <c r="O92">
        <v>0.001995</v>
      </c>
      <c r="P92">
        <v>28</v>
      </c>
      <c r="Q92">
        <v>210.465</v>
      </c>
      <c r="S92">
        <f t="shared" si="2"/>
        <v>96.0204261313612</v>
      </c>
      <c r="T92">
        <f t="shared" si="3"/>
        <v>82.9244212914338</v>
      </c>
    </row>
    <row r="93" spans="1:20">
      <c r="A93" s="1" t="s">
        <v>143</v>
      </c>
      <c r="B93">
        <v>643</v>
      </c>
      <c r="C93">
        <v>2280</v>
      </c>
      <c r="D93">
        <v>180</v>
      </c>
      <c r="E93">
        <v>1235</v>
      </c>
      <c r="F93" s="2">
        <v>0.000184</v>
      </c>
      <c r="G93">
        <v>506</v>
      </c>
      <c r="H93" s="2">
        <v>0.001095</v>
      </c>
      <c r="I93">
        <v>406</v>
      </c>
      <c r="J93">
        <v>0.060359</v>
      </c>
      <c r="K93">
        <v>625</v>
      </c>
      <c r="L93">
        <v>177</v>
      </c>
      <c r="M93">
        <v>0.038298</v>
      </c>
      <c r="N93">
        <v>6</v>
      </c>
      <c r="O93" s="2">
        <v>0.000137</v>
      </c>
      <c r="P93">
        <v>7</v>
      </c>
      <c r="Q93">
        <v>0.102791</v>
      </c>
      <c r="S93">
        <f t="shared" si="2"/>
        <v>72.0062208398134</v>
      </c>
      <c r="T93">
        <f t="shared" si="3"/>
        <v>82.1929824561404</v>
      </c>
    </row>
    <row r="94" spans="1:20">
      <c r="A94" s="1" t="s">
        <v>144</v>
      </c>
      <c r="B94">
        <v>121422</v>
      </c>
      <c r="C94">
        <v>334419</v>
      </c>
      <c r="D94">
        <v>1071</v>
      </c>
      <c r="E94">
        <v>25209</v>
      </c>
      <c r="F94" s="2">
        <v>0.005694</v>
      </c>
      <c r="G94">
        <v>25166</v>
      </c>
      <c r="H94" s="2">
        <v>0.082034</v>
      </c>
      <c r="I94">
        <v>25166</v>
      </c>
      <c r="J94">
        <v>2.30245</v>
      </c>
      <c r="K94">
        <v>1609</v>
      </c>
      <c r="L94">
        <v>0</v>
      </c>
      <c r="M94">
        <v>-1</v>
      </c>
      <c r="N94">
        <v>22</v>
      </c>
      <c r="O94" s="2">
        <v>0.018837</v>
      </c>
      <c r="P94">
        <v>34</v>
      </c>
      <c r="Q94">
        <v>600</v>
      </c>
      <c r="S94">
        <f t="shared" si="2"/>
        <v>99.117952265652</v>
      </c>
      <c r="T94">
        <f t="shared" si="3"/>
        <v>92.4747098699536</v>
      </c>
    </row>
    <row r="95" spans="1:20">
      <c r="A95" s="1" t="s">
        <v>145</v>
      </c>
      <c r="B95">
        <v>4767</v>
      </c>
      <c r="C95">
        <v>37375</v>
      </c>
      <c r="D95">
        <v>2155</v>
      </c>
      <c r="E95">
        <v>31206</v>
      </c>
      <c r="F95">
        <v>0.004641</v>
      </c>
      <c r="G95">
        <v>17323</v>
      </c>
      <c r="H95">
        <v>0.074493</v>
      </c>
      <c r="I95">
        <v>17050</v>
      </c>
      <c r="J95">
        <v>0.18961</v>
      </c>
      <c r="K95">
        <v>1517</v>
      </c>
      <c r="L95">
        <v>0</v>
      </c>
      <c r="M95">
        <v>-1</v>
      </c>
      <c r="N95">
        <v>7</v>
      </c>
      <c r="O95">
        <v>0.002975</v>
      </c>
      <c r="P95">
        <v>11</v>
      </c>
      <c r="Q95">
        <v>600</v>
      </c>
      <c r="S95">
        <f t="shared" si="2"/>
        <v>54.7933710929306</v>
      </c>
      <c r="T95">
        <f t="shared" si="3"/>
        <v>54.38127090301</v>
      </c>
    </row>
    <row r="96" spans="1:20">
      <c r="A96" s="1" t="s">
        <v>146</v>
      </c>
      <c r="B96">
        <v>16062</v>
      </c>
      <c r="C96">
        <v>25593</v>
      </c>
      <c r="D96">
        <v>138</v>
      </c>
      <c r="E96">
        <v>1476</v>
      </c>
      <c r="F96">
        <v>0.000437</v>
      </c>
      <c r="G96">
        <v>1475</v>
      </c>
      <c r="H96">
        <v>0.001863</v>
      </c>
      <c r="I96">
        <v>1475</v>
      </c>
      <c r="J96">
        <v>0.149331</v>
      </c>
      <c r="K96">
        <v>6001</v>
      </c>
      <c r="L96">
        <v>4136</v>
      </c>
      <c r="M96">
        <v>28.9885</v>
      </c>
      <c r="N96">
        <v>13</v>
      </c>
      <c r="O96">
        <v>0.001189</v>
      </c>
      <c r="P96">
        <v>14</v>
      </c>
      <c r="Q96">
        <v>29.1783</v>
      </c>
      <c r="S96">
        <f t="shared" si="2"/>
        <v>99.1408292865148</v>
      </c>
      <c r="T96">
        <f t="shared" si="3"/>
        <v>94.2367053491189</v>
      </c>
    </row>
    <row r="97" spans="17:17">
      <c r="Q97">
        <f>COUNT(Q2:Q96)-COUNTIF(Q2:Q96,"=600")</f>
        <v>60</v>
      </c>
    </row>
  </sheetData>
  <sortState ref="A2:Q96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0.0001</vt:lpstr>
      <vt:lpstr>0.0005</vt:lpstr>
      <vt:lpstr>0.001</vt:lpstr>
      <vt:lpstr>0.0015</vt:lpstr>
      <vt:lpstr>0.002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姜皓裕</dc:creator>
  <cp:lastModifiedBy>小丑本丑</cp:lastModifiedBy>
  <dcterms:created xsi:type="dcterms:W3CDTF">2023-05-12T11:15:00Z</dcterms:created>
  <dcterms:modified xsi:type="dcterms:W3CDTF">2026-05-09T20:28:26Z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A38A49D66C164E5CA8AB4D39D27D6125_12</vt:lpwstr>
  </property>
  <property fmtid="{D5CDD505-2E9C-101B-9397-08002B2CF9AE}" pid="4" name="CalculationRule">
    <vt:i4>0</vt:i4>
  </property>
</Properties>
</file>