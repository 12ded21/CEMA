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4"/>
  </bookViews>
  <sheets>
    <sheet name="d=0.0001" sheetId="1" r:id="rId1"/>
    <sheet name="d=0.0005" sheetId="2" r:id="rId2"/>
    <sheet name="d=0.001" sheetId="3" r:id="rId3"/>
    <sheet name="d=0.0015" sheetId="4" r:id="rId4"/>
    <sheet name="d=0.002" sheetId="5" r:id="rId5"/>
  </sheets>
  <definedNames>
    <definedName name="_xlnm._FilterDatabase" localSheetId="0" hidden="1">'d=0.0001'!$Q$1:$Q$190</definedName>
    <definedName name="_xlnm._FilterDatabase" localSheetId="1" hidden="1">'d=0.0005'!$Q$1:$Q$190</definedName>
    <definedName name="_xlnm._FilterDatabase" localSheetId="2" hidden="1">'d=0.001'!$Q$1:$Q$190</definedName>
    <definedName name="_xlnm._FilterDatabase" localSheetId="3" hidden="1">'d=0.0015'!$Q$1:$Q$190</definedName>
    <definedName name="_xlnm._FilterDatabase" localSheetId="4" hidden="1">'d=0.002'!$Q$1:$Q$190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<sst xmlns="http://schemas.openxmlformats.org/spreadsheetml/2006/main" count="1054" uniqueCount="194">
  <si>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</si>
  <si>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</si>
  <si>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</si>
  <si>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</si>
  <si>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</si>
  <si>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</si>
  <si>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</si>
  <si>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</si>
  <si>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</si>
  <si>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</si>
  <si>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</si>
  <si>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</si>
  <si>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</si>
  <si>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</si>
  <si>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</si>
  <si>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</si>
  <si>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</si>
  <si>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bio-celegans</t>
  </si>
  <si>
    <t>bio-diseasome</t>
  </si>
  <si>
    <t>2.7e-05</t>
  </si>
  <si>
    <t>3.4e-05</t>
  </si>
  <si>
    <t>1e-06</t>
  </si>
  <si>
    <t>bio-dmela</t>
  </si>
  <si>
    <t>bio-yeast</t>
  </si>
  <si>
    <t>4.3e-05</t>
  </si>
  <si>
    <t>8e-06</t>
  </si>
  <si>
    <t>ca-AstroPh</t>
  </si>
  <si>
    <t>ca-citeseer</t>
  </si>
  <si>
    <t>ca-CondMat</t>
  </si>
  <si>
    <t>ca-CSphd</t>
  </si>
  <si>
    <t>5.6e-05</t>
  </si>
  <si>
    <t>6e-06</t>
  </si>
  <si>
    <t>ca-dblp-2010</t>
  </si>
  <si>
    <t>ca-Erdos992</t>
  </si>
  <si>
    <t>ca-GrQc</t>
  </si>
  <si>
    <t>ca-HepPh</t>
  </si>
  <si>
    <t>ca-MathSciNet</t>
  </si>
  <si>
    <t>ca-netscience</t>
  </si>
  <si>
    <t>2.6e-05</t>
  </si>
  <si>
    <t>2.5e-05</t>
  </si>
  <si>
    <t>2e-06</t>
  </si>
  <si>
    <t>7.2e-05</t>
  </si>
  <si>
    <t>ia-email-EU</t>
  </si>
  <si>
    <t>ia-email-univ</t>
  </si>
  <si>
    <t>ia-enron-large</t>
  </si>
  <si>
    <t>ia-enron-only</t>
  </si>
  <si>
    <t>7.4e-05</t>
  </si>
  <si>
    <t>5.5e-05</t>
  </si>
  <si>
    <t>ia-fb-messages</t>
  </si>
  <si>
    <t>ia-infect-dublin</t>
  </si>
  <si>
    <t>9.6e-05</t>
  </si>
  <si>
    <t>ia-infect-hyper</t>
  </si>
  <si>
    <t>ia-reality</t>
  </si>
  <si>
    <t>ia-wiki-Talk</t>
  </si>
  <si>
    <t>inf-power</t>
  </si>
  <si>
    <t>1.1e-05</t>
  </si>
  <si>
    <t>rec-amazon</t>
  </si>
  <si>
    <t>3.3e-05</t>
  </si>
  <si>
    <t>rt-retweet</t>
  </si>
  <si>
    <t>1.2e-05</t>
  </si>
  <si>
    <t>1.6e-05</t>
  </si>
  <si>
    <t>rt-twitter-copen</t>
  </si>
  <si>
    <t>4.9e-05</t>
  </si>
  <si>
    <t>6.4e-05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</si>
  <si>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</si>
  <si>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</si>
  <si>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</si>
  <si>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</si>
  <si>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</si>
  <si>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</si>
  <si>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</si>
  <si>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</si>
  <si>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4e-06</t>
  </si>
  <si>
    <t>3.1e-05</t>
  </si>
  <si>
    <t>scc_rt_assad</t>
  </si>
  <si>
    <t>1.4e-05</t>
  </si>
  <si>
    <t>5e-05</t>
  </si>
  <si>
    <t>1.3e-05</t>
  </si>
  <si>
    <t>scc_rt_bahrain</t>
  </si>
  <si>
    <t>1.5e-05</t>
  </si>
  <si>
    <t>scc_rt_barackobama</t>
  </si>
  <si>
    <t>4.1e-05</t>
  </si>
  <si>
    <t>scc_rt_damascus</t>
  </si>
  <si>
    <t>5e-06</t>
  </si>
  <si>
    <t>1e-05</t>
  </si>
  <si>
    <t>7e-06</t>
  </si>
  <si>
    <t>scc_rt_dash</t>
  </si>
  <si>
    <t>scc_rt_gmanews</t>
  </si>
  <si>
    <t>6.6e-05</t>
  </si>
  <si>
    <t>9.2e-05</t>
  </si>
  <si>
    <t>scc_rt_gop</t>
  </si>
  <si>
    <t>3e-06</t>
  </si>
  <si>
    <t>scc_rt_http</t>
  </si>
  <si>
    <t>scc_rt_israel</t>
  </si>
  <si>
    <t>scc_rt_justinbieber</t>
  </si>
  <si>
    <t>3.8e-05</t>
  </si>
  <si>
    <t>scc_rt_ksa</t>
  </si>
  <si>
    <t>scc_rt_lebanon</t>
  </si>
  <si>
    <t>scc_rt_libya</t>
  </si>
  <si>
    <t>9e-06</t>
  </si>
  <si>
    <t>scc_rt_lolgop</t>
  </si>
  <si>
    <t>scc_rt_mittromney</t>
  </si>
  <si>
    <t>1.8e-05</t>
  </si>
  <si>
    <t>scc_rt_obama</t>
  </si>
  <si>
    <t>scc_rt_occupy</t>
  </si>
  <si>
    <t>scc_rt_occupywallstnyc</t>
  </si>
  <si>
    <t>7e-05</t>
  </si>
  <si>
    <t>scc_rt_oman</t>
  </si>
  <si>
    <t>scc_rt_onedirection</t>
  </si>
  <si>
    <t>scc_rt_p2</t>
  </si>
  <si>
    <t>scc_rt_qatif</t>
  </si>
  <si>
    <t>scc_rt_saudi</t>
  </si>
  <si>
    <t>1.7e-05</t>
  </si>
  <si>
    <t>6.8e-05</t>
  </si>
  <si>
    <t>1.9e-05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</si>
  <si>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</si>
  <si>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</si>
  <si>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</si>
  <si>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</si>
  <si>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</si>
  <si>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</si>
  <si>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</si>
  <si>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2.3e-05</t>
  </si>
  <si>
    <t>6.1e-05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</si>
  <si>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</si>
  <si>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</si>
  <si>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</si>
  <si>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</si>
  <si>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</si>
  <si>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</si>
  <si>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</si>
  <si>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</si>
  <si>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</si>
  <si>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</si>
  <si>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</si>
  <si>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</si>
  <si>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</si>
  <si>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</si>
  <si>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2e-05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</si>
  <si>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</si>
  <si>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</si>
  <si>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</si>
  <si>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</si>
  <si>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</si>
  <si>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</si>
  <si>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</si>
  <si>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</si>
  <si>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</si>
  <si>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</si>
  <si>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9.3e-05</t>
  </si>
  <si>
    <t>web-google</t>
  </si>
  <si>
    <t>8.5e-05</t>
  </si>
  <si>
    <t>web-indochina-2004</t>
  </si>
  <si>
    <t>web-polblogs</t>
  </si>
  <si>
    <t>web-sk-2005</t>
  </si>
  <si>
    <t>web-spam</t>
  </si>
  <si>
    <t>web-webbase-2001</t>
  </si>
  <si>
    <t>5.7e-05</t>
  </si>
  <si>
    <t>2.4e-05</t>
  </si>
  <si>
    <t>8.1e-05</t>
  </si>
  <si>
    <t>4.6e-05</t>
  </si>
  <si>
    <t>3.2e-05</t>
  </si>
  <si>
    <t>2.2e-05</t>
  </si>
  <si>
    <t>5.1e-05</t>
  </si>
  <si>
    <t>7.9e-05</t>
  </si>
  <si>
    <t>3e-05</t>
  </si>
  <si>
    <t>4.2e-05</t>
  </si>
  <si>
    <t>3.6e-05</t>
  </si>
  <si>
    <t>8.2e-05</t>
  </si>
  <si>
    <t>7.5e-05</t>
  </si>
  <si>
    <t>6.2e-05</t>
  </si>
  <si>
    <t>4.4e-05</t>
  </si>
  <si>
    <t>9.1e-05</t>
  </si>
  <si>
    <t>2.9e-05</t>
  </si>
  <si>
    <t>7.8e-05</t>
  </si>
  <si>
    <t>8.3e-05</t>
  </si>
  <si>
    <t>7.6e-05</t>
  </si>
  <si>
    <t>3.9e-05</t>
  </si>
  <si>
    <t>8e-05</t>
  </si>
  <si>
    <t>5.2e-05</t>
  </si>
  <si>
    <t>8.8e-05</t>
  </si>
  <si>
    <t>3.5e-05</t>
  </si>
  <si>
    <t>6.3e-05</t>
  </si>
  <si>
    <t>4.5e-05</t>
  </si>
  <si>
    <t>9.4e-05</t>
  </si>
  <si>
    <t>2.8e-05</t>
  </si>
  <si>
    <t>5.9e-05</t>
  </si>
  <si>
    <t>7.7e-05</t>
  </si>
  <si>
    <t>4e-05</t>
  </si>
  <si>
    <t>8.9e-05</t>
  </si>
  <si>
    <t>5.3e-05</t>
  </si>
  <si>
    <t>3.7e-05</t>
  </si>
  <si>
    <t>8.7e-05</t>
  </si>
  <si>
    <t>9e-05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</si>
</sst>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A74" workbookViewId="0">
      <selection activeCell="U74" sqref="U$1:U$104857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19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68</v>
      </c>
      <c r="E2">
        <v>491</v>
      </c>
      <c r="F2">
        <v>0.00011</v>
      </c>
      <c r="G2">
        <v>136</v>
      </c>
      <c r="H2">
        <v>0.000457</v>
      </c>
      <c r="I2">
        <v>101</v>
      </c>
      <c r="J2">
        <v>0.036234</v>
      </c>
      <c r="K2">
        <v>161</v>
      </c>
      <c r="L2">
        <v>6</v>
      </c>
      <c r="M2">
        <v>0.007282</v>
      </c>
      <c r="N2">
        <v>8</v>
      </c>
      <c r="O2">
        <v>0.000125</v>
      </c>
      <c r="P2">
        <v>8</v>
      </c>
      <c r="Q2">
        <v>0.062009</v>
      </c>
      <c r="S2">
        <v>0.066865</v>
      </c>
      <c r="T2">
        <f>IF(S2&lt;Q2,1,0)</f>
        <v>0</v>
      </c>
      <c r="U2">
        <f>IF(Q2&lt;S2,1,0)</f>
        <v>1</v>
      </c>
    </row>
    <row r="3" spans="1:23">
      <c r="A3" t="s">
        <v>18</v>
      </c>
      <c r="B3">
        <v>516</v>
      </c>
      <c r="C3">
        <v>1188</v>
      </c>
      <c r="D3">
        <v>11</v>
      </c>
      <c r="E3">
        <v>55</v>
      </c>
      <c r="F3" s="3" t="s">
        <v>19</v>
      </c>
      <c r="G3">
        <v>55</v>
      </c>
      <c r="H3" s="3" t="s">
        <v>20</v>
      </c>
      <c r="I3">
        <v>55</v>
      </c>
      <c r="J3" s="3" t="s">
        <v>21</v>
      </c>
      <c r="K3">
        <v>1</v>
      </c>
      <c r="L3">
        <v>1</v>
      </c>
      <c r="M3">
        <v>0.037994</v>
      </c>
      <c r="N3">
        <v>10</v>
      </c>
      <c r="O3" s="2">
        <v>8.3e-5</v>
      </c>
      <c r="P3">
        <v>10</v>
      </c>
      <c r="Q3">
        <v>0.038731</v>
      </c>
      <c r="S3">
        <v>0.016138</v>
      </c>
      <c r="T3">
        <f t="shared" ref="T3:T34" si="0">IF(S3&lt;Q3,1,0)</f>
        <v>1</v>
      </c>
      <c r="U3">
        <f t="shared" ref="U3:U34" si="1">IF(Q3&lt;S3,1,0)</f>
        <v>0</v>
      </c>
    </row>
    <row r="4" spans="1:23">
      <c r="A4" t="s">
        <v>22</v>
      </c>
      <c r="B4">
        <v>7393</v>
      </c>
      <c r="C4">
        <v>25569</v>
      </c>
      <c r="D4">
        <v>2443</v>
      </c>
      <c r="E4">
        <v>16089</v>
      </c>
      <c r="F4">
        <v>0.002881</v>
      </c>
      <c r="G4">
        <v>271</v>
      </c>
      <c r="H4">
        <v>0.009395</v>
      </c>
      <c r="I4">
        <v>41</v>
      </c>
      <c r="J4">
        <v>0.022767</v>
      </c>
      <c r="K4">
        <v>128</v>
      </c>
      <c r="L4">
        <v>8</v>
      </c>
      <c r="M4">
        <v>0.009599</v>
      </c>
      <c r="N4">
        <v>5</v>
      </c>
      <c r="O4" s="2">
        <v>0.002066</v>
      </c>
      <c r="P4">
        <v>5</v>
      </c>
      <c r="Q4">
        <v>0.054905</v>
      </c>
      <c r="S4">
        <v>0.084518</v>
      </c>
      <c r="T4">
        <f t="shared" si="0"/>
        <v>0</v>
      </c>
      <c r="U4">
        <f t="shared" si="1"/>
        <v>1</v>
      </c>
    </row>
    <row r="5" spans="1:23">
      <c r="A5" t="s">
        <v>23</v>
      </c>
      <c r="B5">
        <v>1458</v>
      </c>
      <c r="C5">
        <v>1948</v>
      </c>
      <c r="D5">
        <v>6</v>
      </c>
      <c r="E5">
        <v>15</v>
      </c>
      <c r="F5" s="3" t="s">
        <v>24</v>
      </c>
      <c r="G5">
        <v>15</v>
      </c>
      <c r="H5" s="3" t="s">
        <v>25</v>
      </c>
      <c r="I5">
        <v>15</v>
      </c>
      <c r="J5">
        <v>0</v>
      </c>
      <c r="K5">
        <v>1</v>
      </c>
      <c r="L5">
        <v>1</v>
      </c>
      <c r="M5">
        <v>0.010077</v>
      </c>
      <c r="N5">
        <v>5</v>
      </c>
      <c r="O5" s="2">
        <v>0.000133</v>
      </c>
      <c r="P5">
        <v>5</v>
      </c>
      <c r="Q5">
        <v>0.010906</v>
      </c>
      <c r="S5">
        <v>0.013703</v>
      </c>
      <c r="T5">
        <f t="shared" si="0"/>
        <v>0</v>
      </c>
      <c r="U5">
        <f t="shared" si="1"/>
        <v>1</v>
      </c>
    </row>
    <row r="6" spans="1:23">
      <c r="A6" t="s">
        <v>26</v>
      </c>
      <c r="B6">
        <v>17903</v>
      </c>
      <c r="C6">
        <v>196972</v>
      </c>
      <c r="D6">
        <v>316</v>
      </c>
      <c r="E6">
        <v>8755</v>
      </c>
      <c r="F6">
        <v>0.004221</v>
      </c>
      <c r="G6">
        <v>8445</v>
      </c>
      <c r="H6">
        <v>0.040756</v>
      </c>
      <c r="I6">
        <v>8445</v>
      </c>
      <c r="J6">
        <v>1.73838</v>
      </c>
      <c r="K6">
        <v>5623</v>
      </c>
      <c r="L6">
        <v>247</v>
      </c>
      <c r="M6">
        <v>6.93541</v>
      </c>
      <c r="N6">
        <v>48</v>
      </c>
      <c r="O6">
        <v>0.024523</v>
      </c>
      <c r="P6">
        <v>50</v>
      </c>
      <c r="Q6">
        <v>8.81173</v>
      </c>
      <c r="S6">
        <v>116.221</v>
      </c>
      <c r="T6">
        <f t="shared" si="0"/>
        <v>0</v>
      </c>
      <c r="U6">
        <f t="shared" si="1"/>
        <v>1</v>
      </c>
    </row>
    <row r="7" spans="1:23">
      <c r="A7" t="s">
        <v>27</v>
      </c>
      <c r="B7">
        <v>227320</v>
      </c>
      <c r="C7">
        <v>814134</v>
      </c>
      <c r="D7">
        <v>597</v>
      </c>
      <c r="E7">
        <v>20250</v>
      </c>
      <c r="F7">
        <v>0.015171</v>
      </c>
      <c r="G7">
        <v>19906</v>
      </c>
      <c r="H7">
        <v>0.081058</v>
      </c>
      <c r="I7">
        <v>19906</v>
      </c>
      <c r="J7">
        <v>3.17488</v>
      </c>
      <c r="K7">
        <v>18336</v>
      </c>
      <c r="L7">
        <v>0</v>
      </c>
      <c r="M7">
        <v>-1</v>
      </c>
      <c r="N7">
        <v>55</v>
      </c>
      <c r="O7">
        <v>0.095137</v>
      </c>
      <c r="P7">
        <v>60</v>
      </c>
      <c r="Q7">
        <v>600</v>
      </c>
      <c r="S7">
        <v>600</v>
      </c>
      <c r="T7">
        <f t="shared" si="0"/>
        <v>0</v>
      </c>
      <c r="U7">
        <f t="shared" si="1"/>
        <v>0</v>
      </c>
    </row>
    <row r="8" spans="1:23">
      <c r="A8" t="s">
        <v>28</v>
      </c>
      <c r="B8">
        <v>21363</v>
      </c>
      <c r="C8">
        <v>91286</v>
      </c>
      <c r="D8">
        <v>133</v>
      </c>
      <c r="E8">
        <v>1556</v>
      </c>
      <c r="F8">
        <v>0.001732</v>
      </c>
      <c r="G8">
        <v>1140</v>
      </c>
      <c r="H8">
        <v>0.002435</v>
      </c>
      <c r="I8">
        <v>1140</v>
      </c>
      <c r="J8">
        <v>0.196618</v>
      </c>
      <c r="K8">
        <v>3016</v>
      </c>
      <c r="L8">
        <v>325</v>
      </c>
      <c r="M8">
        <v>1.08266</v>
      </c>
      <c r="N8">
        <v>17</v>
      </c>
      <c r="O8">
        <v>0.007668</v>
      </c>
      <c r="P8">
        <v>20</v>
      </c>
      <c r="Q8">
        <v>1.31699</v>
      </c>
      <c r="S8">
        <v>0.220283</v>
      </c>
      <c r="T8">
        <f t="shared" si="0"/>
        <v>1</v>
      </c>
      <c r="U8">
        <f t="shared" si="1"/>
        <v>0</v>
      </c>
    </row>
    <row r="9" spans="1:23">
      <c r="A9" t="s">
        <v>29</v>
      </c>
      <c r="B9">
        <v>1882</v>
      </c>
      <c r="C9">
        <v>1740</v>
      </c>
      <c r="D9">
        <v>23</v>
      </c>
      <c r="E9">
        <v>14</v>
      </c>
      <c r="F9" s="3" t="s">
        <v>30</v>
      </c>
      <c r="G9">
        <v>0</v>
      </c>
      <c r="H9" s="3" t="s">
        <v>31</v>
      </c>
      <c r="I9">
        <v>0</v>
      </c>
      <c r="J9">
        <v>0</v>
      </c>
      <c r="K9">
        <v>0</v>
      </c>
      <c r="L9">
        <v>0</v>
      </c>
      <c r="M9">
        <v>0.002473</v>
      </c>
      <c r="N9">
        <v>3</v>
      </c>
      <c r="O9" s="2">
        <v>0.000162</v>
      </c>
      <c r="P9">
        <v>3</v>
      </c>
      <c r="Q9">
        <v>0.003239</v>
      </c>
      <c r="S9">
        <v>0.002919</v>
      </c>
      <c r="T9">
        <f t="shared" si="0"/>
        <v>1</v>
      </c>
      <c r="U9">
        <f t="shared" si="1"/>
        <v>0</v>
      </c>
    </row>
    <row r="10" spans="1:23">
      <c r="A10" t="s">
        <v>32</v>
      </c>
      <c r="B10">
        <v>226413</v>
      </c>
      <c r="C10">
        <v>716460</v>
      </c>
      <c r="D10">
        <v>401</v>
      </c>
      <c r="E10">
        <v>12147</v>
      </c>
      <c r="F10">
        <v>0.019077</v>
      </c>
      <c r="G10">
        <v>11530</v>
      </c>
      <c r="H10">
        <v>0.049296</v>
      </c>
      <c r="I10">
        <v>11530</v>
      </c>
      <c r="J10">
        <v>3.46675</v>
      </c>
      <c r="K10">
        <v>17187</v>
      </c>
      <c r="L10">
        <v>0</v>
      </c>
      <c r="M10">
        <v>-1</v>
      </c>
      <c r="N10">
        <v>46</v>
      </c>
      <c r="O10" s="2">
        <v>0.12165</v>
      </c>
      <c r="P10">
        <v>48</v>
      </c>
      <c r="Q10">
        <v>600</v>
      </c>
      <c r="S10">
        <v>600</v>
      </c>
      <c r="T10">
        <f t="shared" si="0"/>
        <v>0</v>
      </c>
      <c r="U10">
        <f t="shared" si="1"/>
        <v>0</v>
      </c>
    </row>
    <row r="11" spans="1:23">
      <c r="A11" t="s">
        <v>33</v>
      </c>
      <c r="B11">
        <v>5094</v>
      </c>
      <c r="C11">
        <v>7515</v>
      </c>
      <c r="D11">
        <v>77</v>
      </c>
      <c r="E11">
        <v>356</v>
      </c>
      <c r="F11">
        <v>0.000285</v>
      </c>
      <c r="G11">
        <v>60</v>
      </c>
      <c r="H11">
        <v>0.000296</v>
      </c>
      <c r="I11">
        <v>46</v>
      </c>
      <c r="J11">
        <v>0.072331</v>
      </c>
      <c r="K11">
        <v>141</v>
      </c>
      <c r="L11">
        <v>9</v>
      </c>
      <c r="M11">
        <v>0.009301</v>
      </c>
      <c r="N11">
        <v>6</v>
      </c>
      <c r="O11" s="2">
        <v>0.000737</v>
      </c>
      <c r="P11">
        <v>7</v>
      </c>
      <c r="Q11">
        <v>0.08612</v>
      </c>
      <c r="S11">
        <v>0.023778</v>
      </c>
      <c r="T11">
        <f t="shared" si="0"/>
        <v>1</v>
      </c>
      <c r="U11">
        <f t="shared" si="1"/>
        <v>0</v>
      </c>
    </row>
    <row r="12" spans="1:23">
      <c r="A12" t="s">
        <v>34</v>
      </c>
      <c r="B12">
        <v>4158</v>
      </c>
      <c r="C12">
        <v>13422</v>
      </c>
      <c r="D12">
        <v>46</v>
      </c>
      <c r="E12">
        <v>1030</v>
      </c>
      <c r="F12">
        <v>0.000344</v>
      </c>
      <c r="G12">
        <v>1030</v>
      </c>
      <c r="H12">
        <v>0.003661</v>
      </c>
      <c r="I12">
        <v>1030</v>
      </c>
      <c r="J12">
        <v>0.022462</v>
      </c>
      <c r="K12">
        <v>55</v>
      </c>
      <c r="L12">
        <v>7</v>
      </c>
      <c r="M12">
        <v>0.050864</v>
      </c>
      <c r="N12">
        <v>42</v>
      </c>
      <c r="O12" s="2">
        <v>0.001759</v>
      </c>
      <c r="P12">
        <v>42</v>
      </c>
      <c r="Q12">
        <v>0.091807</v>
      </c>
      <c r="S12">
        <v>0.028119</v>
      </c>
      <c r="T12">
        <f t="shared" si="0"/>
        <v>1</v>
      </c>
      <c r="U12">
        <f t="shared" si="1"/>
        <v>0</v>
      </c>
    </row>
    <row r="13" spans="1:23">
      <c r="A13" t="s">
        <v>35</v>
      </c>
      <c r="B13">
        <v>11204</v>
      </c>
      <c r="C13">
        <v>117619</v>
      </c>
      <c r="D13">
        <v>239</v>
      </c>
      <c r="E13">
        <v>28441</v>
      </c>
      <c r="F13">
        <v>0.006719</v>
      </c>
      <c r="G13">
        <v>28441</v>
      </c>
      <c r="H13">
        <v>0.784522</v>
      </c>
      <c r="I13">
        <v>28441</v>
      </c>
      <c r="J13">
        <v>0.000753</v>
      </c>
      <c r="K13">
        <v>33</v>
      </c>
      <c r="L13">
        <v>33</v>
      </c>
      <c r="M13">
        <v>18.9189</v>
      </c>
      <c r="N13">
        <v>227</v>
      </c>
      <c r="O13">
        <v>0.038346</v>
      </c>
      <c r="P13">
        <v>227</v>
      </c>
      <c r="Q13">
        <v>19.8032</v>
      </c>
      <c r="S13">
        <v>15.6921</v>
      </c>
      <c r="T13">
        <f t="shared" si="0"/>
        <v>1</v>
      </c>
      <c r="U13">
        <f t="shared" si="1"/>
        <v>0</v>
      </c>
    </row>
    <row r="14" spans="1:23">
      <c r="A14" t="s">
        <v>36</v>
      </c>
      <c r="B14">
        <v>332689</v>
      </c>
      <c r="C14">
        <v>820644</v>
      </c>
      <c r="D14">
        <v>553</v>
      </c>
      <c r="E14">
        <v>5339</v>
      </c>
      <c r="F14">
        <v>0.028594</v>
      </c>
      <c r="G14">
        <v>4267</v>
      </c>
      <c r="H14">
        <v>0.006395</v>
      </c>
      <c r="I14">
        <v>4267</v>
      </c>
      <c r="J14">
        <v>0.246354</v>
      </c>
      <c r="K14">
        <v>7430</v>
      </c>
      <c r="L14">
        <v>924</v>
      </c>
      <c r="M14">
        <v>8.7974</v>
      </c>
      <c r="N14">
        <v>15</v>
      </c>
      <c r="O14">
        <v>0.18568</v>
      </c>
      <c r="P14">
        <v>16</v>
      </c>
      <c r="Q14">
        <v>9.56505</v>
      </c>
      <c r="S14">
        <v>5.22499</v>
      </c>
      <c r="T14">
        <f t="shared" si="0"/>
        <v>1</v>
      </c>
      <c r="U14">
        <f t="shared" si="1"/>
        <v>0</v>
      </c>
    </row>
    <row r="15" spans="1:23">
      <c r="A15" t="s">
        <v>37</v>
      </c>
      <c r="B15">
        <v>379</v>
      </c>
      <c r="C15">
        <v>914</v>
      </c>
      <c r="D15">
        <v>9</v>
      </c>
      <c r="E15">
        <v>36</v>
      </c>
      <c r="F15" s="3" t="s">
        <v>38</v>
      </c>
      <c r="G15">
        <v>36</v>
      </c>
      <c r="H15" s="3" t="s">
        <v>39</v>
      </c>
      <c r="I15">
        <v>36</v>
      </c>
      <c r="J15" s="3" t="s">
        <v>40</v>
      </c>
      <c r="K15">
        <v>1</v>
      </c>
      <c r="L15">
        <v>1</v>
      </c>
      <c r="M15">
        <v>0.018535</v>
      </c>
      <c r="N15">
        <v>8</v>
      </c>
      <c r="O15" s="3" t="s">
        <v>41</v>
      </c>
      <c r="P15">
        <v>8</v>
      </c>
      <c r="Q15">
        <v>0.037219</v>
      </c>
      <c r="S15">
        <v>0.015393</v>
      </c>
      <c r="T15">
        <f t="shared" si="0"/>
        <v>1</v>
      </c>
      <c r="U15">
        <f t="shared" si="1"/>
        <v>0</v>
      </c>
    </row>
    <row r="16" spans="1:23">
      <c r="A16" t="s">
        <v>42</v>
      </c>
      <c r="B16">
        <v>32430</v>
      </c>
      <c r="C16">
        <v>54397</v>
      </c>
      <c r="D16">
        <v>804</v>
      </c>
      <c r="E16">
        <v>11528</v>
      </c>
      <c r="F16">
        <v>0.003197</v>
      </c>
      <c r="G16">
        <v>4237</v>
      </c>
      <c r="H16">
        <v>0.024103</v>
      </c>
      <c r="I16">
        <v>3743</v>
      </c>
      <c r="J16">
        <v>0.138993</v>
      </c>
      <c r="K16">
        <v>438</v>
      </c>
      <c r="L16">
        <v>140</v>
      </c>
      <c r="M16">
        <v>0.253644</v>
      </c>
      <c r="N16">
        <v>9</v>
      </c>
      <c r="O16" s="2">
        <v>0.004781</v>
      </c>
      <c r="P16">
        <v>10</v>
      </c>
      <c r="Q16">
        <v>0.444943</v>
      </c>
      <c r="S16">
        <v>0.386047</v>
      </c>
      <c r="T16">
        <f t="shared" si="0"/>
        <v>1</v>
      </c>
      <c r="U16">
        <f t="shared" si="1"/>
        <v>0</v>
      </c>
    </row>
    <row r="17" spans="1:21">
      <c r="A17" t="s">
        <v>43</v>
      </c>
      <c r="B17">
        <v>1133</v>
      </c>
      <c r="C17">
        <v>5451</v>
      </c>
      <c r="D17">
        <v>468</v>
      </c>
      <c r="E17">
        <v>3420</v>
      </c>
      <c r="F17">
        <v>0.000687</v>
      </c>
      <c r="G17">
        <v>445</v>
      </c>
      <c r="H17">
        <v>0.00347</v>
      </c>
      <c r="I17">
        <v>166</v>
      </c>
      <c r="J17">
        <v>0.102116</v>
      </c>
      <c r="K17">
        <v>501</v>
      </c>
      <c r="L17">
        <v>12</v>
      </c>
      <c r="M17">
        <v>0.01098</v>
      </c>
      <c r="N17">
        <v>7</v>
      </c>
      <c r="O17">
        <v>0.000495</v>
      </c>
      <c r="P17">
        <v>11</v>
      </c>
      <c r="Q17">
        <v>0.120777</v>
      </c>
      <c r="S17">
        <v>0.067861</v>
      </c>
      <c r="T17">
        <f t="shared" si="0"/>
        <v>1</v>
      </c>
      <c r="U17">
        <f t="shared" si="1"/>
        <v>0</v>
      </c>
    </row>
    <row r="18" spans="1:21">
      <c r="A18" t="s">
        <v>44</v>
      </c>
      <c r="B18">
        <v>33696</v>
      </c>
      <c r="C18">
        <v>180811</v>
      </c>
      <c r="D18">
        <v>3347</v>
      </c>
      <c r="E18">
        <v>85425</v>
      </c>
      <c r="F18">
        <v>0.027105</v>
      </c>
      <c r="G18">
        <v>40782</v>
      </c>
      <c r="H18">
        <v>0.364578</v>
      </c>
      <c r="I18">
        <v>40303</v>
      </c>
      <c r="J18">
        <v>0.292894</v>
      </c>
      <c r="K18">
        <v>929</v>
      </c>
      <c r="L18">
        <v>387</v>
      </c>
      <c r="M18">
        <v>69.71</v>
      </c>
      <c r="N18">
        <v>14</v>
      </c>
      <c r="O18">
        <v>0.030373</v>
      </c>
      <c r="P18">
        <v>15</v>
      </c>
      <c r="Q18">
        <v>70.5291</v>
      </c>
      <c r="S18">
        <v>67.4437</v>
      </c>
      <c r="T18">
        <f t="shared" si="0"/>
        <v>1</v>
      </c>
      <c r="U18">
        <f t="shared" si="1"/>
        <v>0</v>
      </c>
    </row>
    <row r="19" spans="1:21">
      <c r="A19" t="s">
        <v>45</v>
      </c>
      <c r="B19">
        <v>143</v>
      </c>
      <c r="C19">
        <v>623</v>
      </c>
      <c r="D19">
        <v>80</v>
      </c>
      <c r="E19">
        <v>442</v>
      </c>
      <c r="F19" s="3" t="s">
        <v>46</v>
      </c>
      <c r="G19">
        <v>139</v>
      </c>
      <c r="H19">
        <v>0.000357</v>
      </c>
      <c r="I19">
        <v>107</v>
      </c>
      <c r="J19">
        <v>0.122883</v>
      </c>
      <c r="K19">
        <v>222</v>
      </c>
      <c r="L19">
        <v>27</v>
      </c>
      <c r="M19">
        <v>0.012658</v>
      </c>
      <c r="N19">
        <v>6</v>
      </c>
      <c r="O19" s="3" t="s">
        <v>47</v>
      </c>
      <c r="P19">
        <v>7</v>
      </c>
      <c r="Q19">
        <v>0.143082</v>
      </c>
      <c r="S19">
        <v>0.029839</v>
      </c>
      <c r="T19">
        <f t="shared" si="0"/>
        <v>1</v>
      </c>
      <c r="U19">
        <f t="shared" si="1"/>
        <v>0</v>
      </c>
    </row>
    <row r="20" spans="1:21">
      <c r="A20" t="s">
        <v>48</v>
      </c>
      <c r="B20">
        <v>1266</v>
      </c>
      <c r="C20">
        <v>6451</v>
      </c>
      <c r="D20">
        <v>761</v>
      </c>
      <c r="E20">
        <v>5580</v>
      </c>
      <c r="F20">
        <v>0.000849</v>
      </c>
      <c r="G20">
        <v>689</v>
      </c>
      <c r="H20">
        <v>0.004149</v>
      </c>
      <c r="I20">
        <v>141</v>
      </c>
      <c r="J20">
        <v>0.035057</v>
      </c>
      <c r="K20">
        <v>105</v>
      </c>
      <c r="L20">
        <v>8</v>
      </c>
      <c r="M20">
        <v>0.00756</v>
      </c>
      <c r="N20">
        <v>4</v>
      </c>
      <c r="O20" s="2">
        <v>0.000452</v>
      </c>
      <c r="P20">
        <v>5</v>
      </c>
      <c r="Q20">
        <v>0.050678</v>
      </c>
      <c r="S20">
        <v>0.041326</v>
      </c>
      <c r="T20">
        <f t="shared" si="0"/>
        <v>1</v>
      </c>
      <c r="U20">
        <f t="shared" si="1"/>
        <v>0</v>
      </c>
    </row>
    <row r="21" spans="1:21">
      <c r="A21" t="s">
        <v>49</v>
      </c>
      <c r="B21">
        <v>410</v>
      </c>
      <c r="C21">
        <v>2765</v>
      </c>
      <c r="D21">
        <v>32</v>
      </c>
      <c r="E21">
        <v>351</v>
      </c>
      <c r="F21" s="3" t="s">
        <v>50</v>
      </c>
      <c r="G21">
        <v>120</v>
      </c>
      <c r="H21">
        <v>0.000585</v>
      </c>
      <c r="I21">
        <v>120</v>
      </c>
      <c r="J21">
        <v>0.133124</v>
      </c>
      <c r="K21">
        <v>133</v>
      </c>
      <c r="L21">
        <v>1</v>
      </c>
      <c r="M21">
        <v>0.011982</v>
      </c>
      <c r="N21">
        <v>15</v>
      </c>
      <c r="O21">
        <v>0.000268</v>
      </c>
      <c r="P21">
        <v>15</v>
      </c>
      <c r="Q21">
        <v>0.164729</v>
      </c>
      <c r="S21">
        <v>0.040596</v>
      </c>
      <c r="T21">
        <f t="shared" si="0"/>
        <v>1</v>
      </c>
      <c r="U21">
        <f t="shared" si="1"/>
        <v>0</v>
      </c>
    </row>
    <row r="22" spans="1:21">
      <c r="A22" t="s">
        <v>51</v>
      </c>
      <c r="B22">
        <v>113</v>
      </c>
      <c r="C22">
        <v>2196</v>
      </c>
      <c r="D22">
        <v>108</v>
      </c>
      <c r="E22">
        <v>2149</v>
      </c>
      <c r="F22">
        <v>0.000377</v>
      </c>
      <c r="G22">
        <v>1514</v>
      </c>
      <c r="H22">
        <v>0.008441</v>
      </c>
      <c r="I22">
        <v>1267</v>
      </c>
      <c r="J22">
        <v>0.660696</v>
      </c>
      <c r="K22">
        <v>450</v>
      </c>
      <c r="L22">
        <v>105</v>
      </c>
      <c r="M22">
        <v>0.044912</v>
      </c>
      <c r="N22">
        <v>13</v>
      </c>
      <c r="O22">
        <v>0.00028</v>
      </c>
      <c r="P22">
        <v>14</v>
      </c>
      <c r="Q22">
        <v>0.72649</v>
      </c>
      <c r="S22">
        <v>0.170405</v>
      </c>
      <c r="T22">
        <f t="shared" si="0"/>
        <v>1</v>
      </c>
      <c r="U22">
        <f t="shared" si="1"/>
        <v>0</v>
      </c>
    </row>
    <row r="23" spans="1:21">
      <c r="A23" t="s">
        <v>52</v>
      </c>
      <c r="B23">
        <v>6809</v>
      </c>
      <c r="C23">
        <v>7680</v>
      </c>
      <c r="D23">
        <v>139</v>
      </c>
      <c r="E23">
        <v>553</v>
      </c>
      <c r="F23">
        <v>0.000162</v>
      </c>
      <c r="G23">
        <v>71</v>
      </c>
      <c r="H23">
        <v>0.00022</v>
      </c>
      <c r="I23">
        <v>26</v>
      </c>
      <c r="J23">
        <v>0.01611</v>
      </c>
      <c r="K23">
        <v>53</v>
      </c>
      <c r="L23">
        <v>5</v>
      </c>
      <c r="M23">
        <v>0.010303</v>
      </c>
      <c r="N23">
        <v>4</v>
      </c>
      <c r="O23" s="2">
        <v>0.000316</v>
      </c>
      <c r="P23">
        <v>4</v>
      </c>
      <c r="Q23">
        <v>0.035633</v>
      </c>
      <c r="S23">
        <v>0.016468</v>
      </c>
      <c r="T23">
        <f t="shared" si="0"/>
        <v>1</v>
      </c>
      <c r="U23">
        <f t="shared" si="1"/>
        <v>0</v>
      </c>
    </row>
    <row r="24" spans="1:21">
      <c r="A24" t="s">
        <v>53</v>
      </c>
      <c r="B24">
        <v>92117</v>
      </c>
      <c r="C24">
        <v>360767</v>
      </c>
      <c r="D24">
        <v>10677</v>
      </c>
      <c r="E24">
        <v>219674</v>
      </c>
      <c r="F24">
        <v>0.041193</v>
      </c>
      <c r="G24">
        <v>84391</v>
      </c>
      <c r="H24">
        <v>0.812339</v>
      </c>
      <c r="I24">
        <v>83973</v>
      </c>
      <c r="J24">
        <v>0.218322</v>
      </c>
      <c r="K24">
        <v>782</v>
      </c>
      <c r="L24">
        <v>0</v>
      </c>
      <c r="M24">
        <v>-1</v>
      </c>
      <c r="N24">
        <v>8</v>
      </c>
      <c r="O24">
        <v>0.045596</v>
      </c>
      <c r="P24">
        <v>13</v>
      </c>
      <c r="Q24">
        <v>600</v>
      </c>
      <c r="S24">
        <v>600</v>
      </c>
      <c r="T24">
        <f t="shared" si="0"/>
        <v>0</v>
      </c>
      <c r="U24">
        <f t="shared" si="1"/>
        <v>0</v>
      </c>
    </row>
    <row r="25" spans="1:21">
      <c r="A25" t="s">
        <v>54</v>
      </c>
      <c r="B25">
        <v>4941</v>
      </c>
      <c r="C25">
        <v>6594</v>
      </c>
      <c r="D25">
        <v>9</v>
      </c>
      <c r="E25">
        <v>22</v>
      </c>
      <c r="F25">
        <v>0.00015</v>
      </c>
      <c r="G25">
        <v>0</v>
      </c>
      <c r="H25" s="3" t="s">
        <v>55</v>
      </c>
      <c r="I25">
        <v>0</v>
      </c>
      <c r="J25">
        <v>0</v>
      </c>
      <c r="K25">
        <v>0</v>
      </c>
      <c r="L25">
        <v>0</v>
      </c>
      <c r="M25">
        <v>0.001971</v>
      </c>
      <c r="N25">
        <v>6</v>
      </c>
      <c r="O25">
        <v>0.000475</v>
      </c>
      <c r="P25">
        <v>6</v>
      </c>
      <c r="Q25">
        <v>0.004179</v>
      </c>
      <c r="S25">
        <v>0.003908</v>
      </c>
      <c r="T25">
        <f t="shared" si="0"/>
        <v>1</v>
      </c>
      <c r="U25">
        <f t="shared" si="1"/>
        <v>0</v>
      </c>
    </row>
    <row r="26" spans="1:21">
      <c r="A26" t="s">
        <v>56</v>
      </c>
      <c r="B26">
        <v>91813</v>
      </c>
      <c r="C26">
        <v>125704</v>
      </c>
      <c r="D26">
        <v>114</v>
      </c>
      <c r="E26">
        <v>136</v>
      </c>
      <c r="F26">
        <v>0.005129</v>
      </c>
      <c r="G26">
        <v>0</v>
      </c>
      <c r="H26" s="3" t="s">
        <v>57</v>
      </c>
      <c r="I26">
        <v>0</v>
      </c>
      <c r="J26">
        <v>0</v>
      </c>
      <c r="K26">
        <v>0</v>
      </c>
      <c r="L26">
        <v>0</v>
      </c>
      <c r="M26">
        <v>0.001678</v>
      </c>
      <c r="N26">
        <v>5</v>
      </c>
      <c r="O26" s="2">
        <v>0.018932</v>
      </c>
      <c r="P26">
        <v>5</v>
      </c>
      <c r="Q26">
        <v>0.071187</v>
      </c>
      <c r="S26">
        <v>0.049535</v>
      </c>
      <c r="T26">
        <f t="shared" si="0"/>
        <v>1</v>
      </c>
      <c r="U26">
        <f t="shared" si="1"/>
        <v>0</v>
      </c>
    </row>
    <row r="27" spans="1:21">
      <c r="A27" t="s">
        <v>58</v>
      </c>
      <c r="B27">
        <v>96</v>
      </c>
      <c r="C27">
        <v>117</v>
      </c>
      <c r="D27">
        <v>16</v>
      </c>
      <c r="E27">
        <v>26</v>
      </c>
      <c r="F27" s="3" t="s">
        <v>59</v>
      </c>
      <c r="G27">
        <v>6</v>
      </c>
      <c r="H27" s="3" t="s">
        <v>60</v>
      </c>
      <c r="I27">
        <v>6</v>
      </c>
      <c r="J27">
        <v>0.013976</v>
      </c>
      <c r="K27">
        <v>13</v>
      </c>
      <c r="L27">
        <v>1</v>
      </c>
      <c r="M27">
        <v>0.010856</v>
      </c>
      <c r="N27">
        <v>3</v>
      </c>
      <c r="O27" s="2">
        <v>1.7e-5</v>
      </c>
      <c r="P27">
        <v>3</v>
      </c>
      <c r="Q27">
        <v>0.03115</v>
      </c>
      <c r="S27">
        <v>0.018986</v>
      </c>
      <c r="T27">
        <f t="shared" si="0"/>
        <v>1</v>
      </c>
      <c r="U27">
        <f t="shared" si="1"/>
        <v>0</v>
      </c>
    </row>
    <row r="28" spans="1:21">
      <c r="A28" t="s">
        <v>61</v>
      </c>
      <c r="B28">
        <v>761</v>
      </c>
      <c r="C28">
        <v>1029</v>
      </c>
      <c r="D28">
        <v>51</v>
      </c>
      <c r="E28">
        <v>139</v>
      </c>
      <c r="F28" s="3" t="s">
        <v>62</v>
      </c>
      <c r="G28">
        <v>13</v>
      </c>
      <c r="H28" s="3" t="s">
        <v>63</v>
      </c>
      <c r="I28">
        <v>0</v>
      </c>
      <c r="J28" s="3" t="s">
        <v>25</v>
      </c>
      <c r="K28">
        <v>0</v>
      </c>
      <c r="L28">
        <v>0</v>
      </c>
      <c r="M28">
        <v>0.004173</v>
      </c>
      <c r="N28">
        <v>4</v>
      </c>
      <c r="O28" s="2">
        <v>7.6e-5</v>
      </c>
      <c r="P28">
        <v>4</v>
      </c>
      <c r="Q28">
        <v>0.00493</v>
      </c>
      <c r="S28">
        <v>0.005845</v>
      </c>
      <c r="T28">
        <f t="shared" si="0"/>
        <v>0</v>
      </c>
      <c r="U28">
        <f t="shared" si="1"/>
        <v>1</v>
      </c>
    </row>
    <row r="29" spans="1:21">
      <c r="A29" t="s">
        <v>64</v>
      </c>
      <c r="B29">
        <v>146</v>
      </c>
      <c r="C29">
        <v>9828</v>
      </c>
      <c r="D29">
        <v>129</v>
      </c>
      <c r="E29">
        <v>8199</v>
      </c>
      <c r="F29">
        <v>0.001053</v>
      </c>
      <c r="G29">
        <v>7374</v>
      </c>
      <c r="H29">
        <v>0.067262</v>
      </c>
      <c r="I29">
        <v>7373</v>
      </c>
      <c r="J29">
        <v>6.51958</v>
      </c>
      <c r="K29">
        <v>2875</v>
      </c>
      <c r="L29">
        <v>22</v>
      </c>
      <c r="M29">
        <v>0.971296</v>
      </c>
      <c r="N29">
        <v>119</v>
      </c>
      <c r="O29" s="2">
        <v>0.002285</v>
      </c>
      <c r="P29">
        <v>119</v>
      </c>
      <c r="Q29">
        <v>7.82043</v>
      </c>
      <c r="S29">
        <v>6.84181</v>
      </c>
      <c r="T29">
        <f t="shared" si="0"/>
        <v>1</v>
      </c>
      <c r="U29">
        <f t="shared" si="1"/>
        <v>0</v>
      </c>
    </row>
    <row r="30" spans="1:21">
      <c r="A30" t="s">
        <v>65</v>
      </c>
      <c r="B30">
        <v>488</v>
      </c>
      <c r="C30">
        <v>71011</v>
      </c>
      <c r="D30">
        <v>339</v>
      </c>
      <c r="E30">
        <v>54548</v>
      </c>
      <c r="F30">
        <v>0.007557</v>
      </c>
      <c r="G30">
        <v>-1</v>
      </c>
      <c r="H30">
        <v>1.78819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257</v>
      </c>
      <c r="O30">
        <v>0.055279</v>
      </c>
      <c r="P30">
        <v>257</v>
      </c>
      <c r="Q30">
        <v>600</v>
      </c>
      <c r="S30">
        <v>600</v>
      </c>
      <c r="T30">
        <f t="shared" si="0"/>
        <v>0</v>
      </c>
      <c r="U30">
        <f t="shared" si="1"/>
        <v>0</v>
      </c>
    </row>
    <row r="31" spans="1:21">
      <c r="A31" t="s">
        <v>66</v>
      </c>
      <c r="B31">
        <v>1303</v>
      </c>
      <c r="C31">
        <v>531893</v>
      </c>
      <c r="D31">
        <v>820</v>
      </c>
      <c r="E31">
        <v>325713</v>
      </c>
      <c r="F31">
        <v>0.050528</v>
      </c>
      <c r="G31">
        <v>325670</v>
      </c>
      <c r="H31">
        <v>37.388</v>
      </c>
      <c r="I31">
        <v>325670</v>
      </c>
      <c r="J31">
        <v>80.8657</v>
      </c>
      <c r="K31">
        <v>14556</v>
      </c>
      <c r="L31">
        <v>0</v>
      </c>
      <c r="M31">
        <v>-1</v>
      </c>
      <c r="N31">
        <v>631</v>
      </c>
      <c r="O31">
        <v>1.30154</v>
      </c>
      <c r="P31">
        <v>631</v>
      </c>
      <c r="Q31">
        <v>600</v>
      </c>
      <c r="S31">
        <v>600</v>
      </c>
      <c r="T31">
        <f t="shared" si="0"/>
        <v>0</v>
      </c>
      <c r="U31">
        <f t="shared" si="1"/>
        <v>0</v>
      </c>
    </row>
    <row r="32" spans="1:21">
      <c r="A32" t="s">
        <v>67</v>
      </c>
      <c r="B32">
        <v>10972</v>
      </c>
      <c r="C32">
        <v>175573</v>
      </c>
      <c r="D32">
        <v>167</v>
      </c>
      <c r="E32">
        <v>6771</v>
      </c>
      <c r="F32">
        <v>0.003462</v>
      </c>
      <c r="G32">
        <v>6770</v>
      </c>
      <c r="H32">
        <v>0.05445</v>
      </c>
      <c r="I32">
        <v>6770</v>
      </c>
      <c r="J32">
        <v>6.8033</v>
      </c>
      <c r="K32">
        <v>10780</v>
      </c>
      <c r="L32">
        <v>2392</v>
      </c>
      <c r="M32">
        <v>307.501</v>
      </c>
      <c r="N32">
        <v>66</v>
      </c>
      <c r="O32">
        <v>0.03334</v>
      </c>
      <c r="P32">
        <v>68</v>
      </c>
      <c r="Q32">
        <v>314.455</v>
      </c>
      <c r="S32">
        <v>219.51</v>
      </c>
      <c r="T32">
        <f t="shared" si="0"/>
        <v>1</v>
      </c>
      <c r="U32">
        <f t="shared" si="1"/>
        <v>0</v>
      </c>
    </row>
    <row r="33" spans="1:21">
      <c r="A33" t="s">
        <v>68</v>
      </c>
      <c r="B33">
        <v>113</v>
      </c>
      <c r="C33">
        <v>6222</v>
      </c>
      <c r="D33">
        <v>106</v>
      </c>
      <c r="E33">
        <v>5565</v>
      </c>
      <c r="F33">
        <v>0.000665</v>
      </c>
      <c r="G33">
        <v>5565</v>
      </c>
      <c r="H33">
        <v>0.036457</v>
      </c>
      <c r="I33">
        <v>5565</v>
      </c>
      <c r="J33">
        <v>0.000112</v>
      </c>
      <c r="K33">
        <v>1</v>
      </c>
      <c r="L33">
        <v>1</v>
      </c>
      <c r="M33">
        <v>0.155055</v>
      </c>
      <c r="N33">
        <v>105</v>
      </c>
      <c r="O33">
        <v>0.000978</v>
      </c>
      <c r="P33">
        <v>105</v>
      </c>
      <c r="Q33">
        <v>0.223354</v>
      </c>
      <c r="S33">
        <v>0.157338</v>
      </c>
      <c r="T33">
        <f t="shared" si="0"/>
        <v>1</v>
      </c>
      <c r="U33">
        <f t="shared" si="1"/>
        <v>0</v>
      </c>
    </row>
    <row r="34" spans="1:21">
      <c r="A34" t="s">
        <v>69</v>
      </c>
      <c r="B34">
        <v>1206</v>
      </c>
      <c r="C34">
        <v>65990</v>
      </c>
      <c r="D34">
        <v>280</v>
      </c>
      <c r="E34">
        <v>32575</v>
      </c>
      <c r="F34">
        <v>0.008097</v>
      </c>
      <c r="G34">
        <v>27464</v>
      </c>
      <c r="H34">
        <v>0.860335</v>
      </c>
      <c r="I34">
        <v>27395</v>
      </c>
      <c r="J34">
        <v>242.661</v>
      </c>
      <c r="K34">
        <v>5445</v>
      </c>
      <c r="L34">
        <v>745</v>
      </c>
      <c r="M34">
        <v>348.881</v>
      </c>
      <c r="N34">
        <v>151</v>
      </c>
      <c r="O34" s="2">
        <v>0.03842</v>
      </c>
      <c r="P34">
        <v>159</v>
      </c>
      <c r="Q34">
        <v>592.502</v>
      </c>
      <c r="S34">
        <v>210.952</v>
      </c>
      <c r="T34">
        <f t="shared" si="0"/>
        <v>1</v>
      </c>
      <c r="U34">
        <f t="shared" si="1"/>
        <v>0</v>
      </c>
    </row>
    <row r="35" spans="1:21">
      <c r="A35" t="s">
        <v>70</v>
      </c>
      <c r="B35">
        <v>17151</v>
      </c>
      <c r="C35">
        <v>24015</v>
      </c>
      <c r="D35">
        <v>52</v>
      </c>
      <c r="E35">
        <v>617</v>
      </c>
      <c r="F35">
        <v>0.000786</v>
      </c>
      <c r="G35">
        <v>442</v>
      </c>
      <c r="H35">
        <v>0.00106</v>
      </c>
      <c r="I35">
        <v>441</v>
      </c>
      <c r="J35">
        <v>0.190576</v>
      </c>
      <c r="K35">
        <v>526</v>
      </c>
      <c r="L35">
        <v>41</v>
      </c>
      <c r="M35">
        <v>0.074848</v>
      </c>
      <c r="N35">
        <v>16</v>
      </c>
      <c r="O35">
        <v>0.002491</v>
      </c>
      <c r="P35">
        <v>17</v>
      </c>
      <c r="Q35">
        <v>0.289616</v>
      </c>
      <c r="S35">
        <v>0.059589</v>
      </c>
      <c r="T35">
        <f t="shared" ref="T35:T66" si="2">IF(S35&lt;Q35,1,0)</f>
        <v>1</v>
      </c>
      <c r="U35">
        <f t="shared" ref="U35:U66" si="3">IF(Q35&lt;S35,1,0)</f>
        <v>0</v>
      </c>
    </row>
    <row r="36" spans="1:21">
      <c r="A36" t="s">
        <v>71</v>
      </c>
      <c r="B36">
        <v>72</v>
      </c>
      <c r="C36">
        <v>355</v>
      </c>
      <c r="D36">
        <v>18</v>
      </c>
      <c r="E36">
        <v>150</v>
      </c>
      <c r="F36" s="3" t="s">
        <v>19</v>
      </c>
      <c r="G36">
        <v>150</v>
      </c>
      <c r="H36">
        <v>0.000138</v>
      </c>
      <c r="I36">
        <v>150</v>
      </c>
      <c r="J36" s="3" t="s">
        <v>72</v>
      </c>
      <c r="K36">
        <v>1</v>
      </c>
      <c r="L36">
        <v>1</v>
      </c>
      <c r="M36">
        <v>0.018715</v>
      </c>
      <c r="N36">
        <v>15</v>
      </c>
      <c r="O36" s="3" t="s">
        <v>73</v>
      </c>
      <c r="P36">
        <v>15</v>
      </c>
      <c r="Q36">
        <v>0.029595</v>
      </c>
      <c r="S36">
        <v>0.017346</v>
      </c>
      <c r="T36">
        <f t="shared" si="2"/>
        <v>1</v>
      </c>
      <c r="U36">
        <f t="shared" si="3"/>
        <v>0</v>
      </c>
    </row>
    <row r="37" spans="1:21">
      <c r="A37" t="s">
        <v>74</v>
      </c>
      <c r="B37">
        <v>34</v>
      </c>
      <c r="C37">
        <v>96</v>
      </c>
      <c r="D37">
        <v>12</v>
      </c>
      <c r="E37">
        <v>53</v>
      </c>
      <c r="F37" s="3" t="s">
        <v>75</v>
      </c>
      <c r="G37">
        <v>53</v>
      </c>
      <c r="H37" s="3" t="s">
        <v>76</v>
      </c>
      <c r="I37">
        <v>53</v>
      </c>
      <c r="J37">
        <v>0.012333</v>
      </c>
      <c r="K37">
        <v>26</v>
      </c>
      <c r="L37">
        <v>5</v>
      </c>
      <c r="M37">
        <v>0.021672</v>
      </c>
      <c r="N37">
        <v>7</v>
      </c>
      <c r="O37" s="3" t="s">
        <v>77</v>
      </c>
      <c r="P37">
        <v>7</v>
      </c>
      <c r="Q37">
        <v>0.051495</v>
      </c>
      <c r="S37">
        <v>0.011649</v>
      </c>
      <c r="T37">
        <f t="shared" si="2"/>
        <v>1</v>
      </c>
      <c r="U37">
        <f t="shared" si="3"/>
        <v>0</v>
      </c>
    </row>
    <row r="38" spans="1:21">
      <c r="A38" t="s">
        <v>78</v>
      </c>
      <c r="B38">
        <v>72</v>
      </c>
      <c r="C38">
        <v>129</v>
      </c>
      <c r="D38">
        <v>12</v>
      </c>
      <c r="E38">
        <v>53</v>
      </c>
      <c r="F38" s="3" t="s">
        <v>79</v>
      </c>
      <c r="G38">
        <v>35</v>
      </c>
      <c r="H38" s="3" t="s">
        <v>47</v>
      </c>
      <c r="I38">
        <v>35</v>
      </c>
      <c r="J38">
        <v>0.010352</v>
      </c>
      <c r="K38">
        <v>14</v>
      </c>
      <c r="L38">
        <v>2</v>
      </c>
      <c r="M38">
        <v>0.006839</v>
      </c>
      <c r="N38">
        <v>7</v>
      </c>
      <c r="O38" s="2">
        <v>1.7e-5</v>
      </c>
      <c r="P38">
        <v>7</v>
      </c>
      <c r="Q38">
        <v>0.027573</v>
      </c>
      <c r="S38">
        <v>0.019651</v>
      </c>
      <c r="T38">
        <f t="shared" si="2"/>
        <v>1</v>
      </c>
      <c r="U38">
        <f t="shared" si="3"/>
        <v>0</v>
      </c>
    </row>
    <row r="39" spans="1:21">
      <c r="A39" t="s">
        <v>80</v>
      </c>
      <c r="B39">
        <v>80</v>
      </c>
      <c r="C39">
        <v>226</v>
      </c>
      <c r="D39">
        <v>18</v>
      </c>
      <c r="E39">
        <v>103</v>
      </c>
      <c r="F39" s="3" t="s">
        <v>81</v>
      </c>
      <c r="G39">
        <v>80</v>
      </c>
      <c r="H39">
        <v>0.000198</v>
      </c>
      <c r="I39">
        <v>80</v>
      </c>
      <c r="J39">
        <v>0.005853</v>
      </c>
      <c r="K39">
        <v>39</v>
      </c>
      <c r="L39">
        <v>9</v>
      </c>
      <c r="M39">
        <v>0.004334</v>
      </c>
      <c r="N39">
        <v>8</v>
      </c>
      <c r="O39" s="2">
        <v>4.4e-5</v>
      </c>
      <c r="P39">
        <v>9</v>
      </c>
      <c r="Q39">
        <v>0.018013</v>
      </c>
      <c r="S39">
        <v>0.079909</v>
      </c>
      <c r="T39">
        <f t="shared" si="2"/>
        <v>0</v>
      </c>
      <c r="U39">
        <f t="shared" si="3"/>
        <v>1</v>
      </c>
    </row>
    <row r="40" spans="1:21">
      <c r="A40" t="s">
        <v>82</v>
      </c>
      <c r="B40">
        <v>34</v>
      </c>
      <c r="C40">
        <v>41</v>
      </c>
      <c r="D40">
        <v>6</v>
      </c>
      <c r="E40">
        <v>14</v>
      </c>
      <c r="F40" s="3" t="s">
        <v>83</v>
      </c>
      <c r="G40">
        <v>14</v>
      </c>
      <c r="H40" s="3" t="s">
        <v>84</v>
      </c>
      <c r="I40">
        <v>14</v>
      </c>
      <c r="J40" s="3" t="s">
        <v>21</v>
      </c>
      <c r="K40">
        <v>2</v>
      </c>
      <c r="L40">
        <v>2</v>
      </c>
      <c r="M40">
        <v>0.034054</v>
      </c>
      <c r="N40">
        <v>4</v>
      </c>
      <c r="O40" s="3" t="s">
        <v>85</v>
      </c>
      <c r="P40">
        <v>4</v>
      </c>
      <c r="Q40">
        <v>0.059527</v>
      </c>
      <c r="S40">
        <v>0.018969</v>
      </c>
      <c r="T40">
        <f t="shared" si="2"/>
        <v>1</v>
      </c>
      <c r="U40">
        <f t="shared" si="3"/>
        <v>0</v>
      </c>
    </row>
    <row r="41" spans="1:21">
      <c r="A41" t="s">
        <v>86</v>
      </c>
      <c r="B41">
        <v>31</v>
      </c>
      <c r="C41">
        <v>39</v>
      </c>
      <c r="D41">
        <v>6</v>
      </c>
      <c r="E41">
        <v>15</v>
      </c>
      <c r="F41" s="3" t="s">
        <v>85</v>
      </c>
      <c r="G41">
        <v>15</v>
      </c>
      <c r="H41" s="3" t="s">
        <v>60</v>
      </c>
      <c r="I41">
        <v>15</v>
      </c>
      <c r="J41" s="3" t="s">
        <v>40</v>
      </c>
      <c r="K41">
        <v>1</v>
      </c>
      <c r="L41">
        <v>1</v>
      </c>
      <c r="M41">
        <v>0.014938</v>
      </c>
      <c r="N41">
        <v>5</v>
      </c>
      <c r="O41" s="3" t="s">
        <v>55</v>
      </c>
      <c r="P41">
        <v>5</v>
      </c>
      <c r="Q41">
        <v>0.021684</v>
      </c>
      <c r="S41">
        <v>0.015412</v>
      </c>
      <c r="T41">
        <f t="shared" si="2"/>
        <v>1</v>
      </c>
      <c r="U41">
        <f t="shared" si="3"/>
        <v>0</v>
      </c>
    </row>
    <row r="42" spans="1:21">
      <c r="A42" t="s">
        <v>87</v>
      </c>
      <c r="B42">
        <v>135</v>
      </c>
      <c r="C42">
        <v>1078</v>
      </c>
      <c r="D42">
        <v>34</v>
      </c>
      <c r="E42">
        <v>451</v>
      </c>
      <c r="F42" s="3" t="s">
        <v>88</v>
      </c>
      <c r="G42">
        <v>407</v>
      </c>
      <c r="H42">
        <v>0.000756</v>
      </c>
      <c r="I42">
        <v>407</v>
      </c>
      <c r="J42">
        <v>0.063415</v>
      </c>
      <c r="K42">
        <v>61</v>
      </c>
      <c r="L42">
        <v>2</v>
      </c>
      <c r="M42">
        <v>0.041193</v>
      </c>
      <c r="N42">
        <v>21</v>
      </c>
      <c r="O42" s="3" t="s">
        <v>89</v>
      </c>
      <c r="P42">
        <v>21</v>
      </c>
      <c r="Q42">
        <v>0.142945</v>
      </c>
      <c r="S42">
        <v>0.031109</v>
      </c>
      <c r="T42">
        <f t="shared" si="2"/>
        <v>1</v>
      </c>
      <c r="U42">
        <f t="shared" si="3"/>
        <v>0</v>
      </c>
    </row>
    <row r="43" spans="1:21">
      <c r="A43" t="s">
        <v>90</v>
      </c>
      <c r="B43">
        <v>13</v>
      </c>
      <c r="C43">
        <v>7</v>
      </c>
      <c r="D43">
        <v>1</v>
      </c>
      <c r="E43">
        <v>0</v>
      </c>
      <c r="F43" s="3" t="s">
        <v>40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0.002628</v>
      </c>
      <c r="N43">
        <v>2</v>
      </c>
      <c r="O43" s="3" t="s">
        <v>91</v>
      </c>
      <c r="P43">
        <v>2</v>
      </c>
      <c r="Q43">
        <v>0.008904</v>
      </c>
      <c r="S43">
        <v>0.006419</v>
      </c>
      <c r="T43">
        <f t="shared" si="2"/>
        <v>1</v>
      </c>
      <c r="U43">
        <f t="shared" si="3"/>
        <v>0</v>
      </c>
    </row>
    <row r="44" spans="1:21">
      <c r="A44" t="s">
        <v>92</v>
      </c>
      <c r="B44">
        <v>5</v>
      </c>
      <c r="C44">
        <v>6</v>
      </c>
      <c r="D44">
        <v>4</v>
      </c>
      <c r="E44">
        <v>5</v>
      </c>
      <c r="F44" s="3" t="s">
        <v>91</v>
      </c>
      <c r="G44">
        <v>5</v>
      </c>
      <c r="H44" s="3" t="s">
        <v>83</v>
      </c>
      <c r="I44">
        <v>5</v>
      </c>
      <c r="J44" s="3" t="s">
        <v>40</v>
      </c>
      <c r="K44">
        <v>2</v>
      </c>
      <c r="L44">
        <v>2</v>
      </c>
      <c r="M44">
        <v>0.016098</v>
      </c>
      <c r="N44">
        <v>2</v>
      </c>
      <c r="O44" s="3" t="s">
        <v>83</v>
      </c>
      <c r="P44">
        <v>2</v>
      </c>
      <c r="Q44">
        <v>0.024248</v>
      </c>
      <c r="S44">
        <v>0.034186</v>
      </c>
      <c r="T44">
        <f t="shared" si="2"/>
        <v>0</v>
      </c>
      <c r="U44">
        <f t="shared" si="3"/>
        <v>1</v>
      </c>
    </row>
    <row r="45" spans="1:21">
      <c r="A45" t="s">
        <v>93</v>
      </c>
      <c r="B45">
        <v>22</v>
      </c>
      <c r="C45">
        <v>12</v>
      </c>
      <c r="D45">
        <v>2</v>
      </c>
      <c r="E45">
        <v>1</v>
      </c>
      <c r="F45" s="3" t="s">
        <v>40</v>
      </c>
      <c r="G45">
        <v>0</v>
      </c>
      <c r="H45" s="3" t="s">
        <v>91</v>
      </c>
      <c r="I45">
        <v>0</v>
      </c>
      <c r="J45">
        <v>0</v>
      </c>
      <c r="K45">
        <v>0</v>
      </c>
      <c r="L45">
        <v>0</v>
      </c>
      <c r="M45">
        <v>0.008213</v>
      </c>
      <c r="N45">
        <v>2</v>
      </c>
      <c r="O45" s="2">
        <v>5e-6</v>
      </c>
      <c r="P45">
        <v>2</v>
      </c>
      <c r="Q45">
        <v>0.041231</v>
      </c>
      <c r="S45">
        <v>0.005875</v>
      </c>
      <c r="T45">
        <f t="shared" si="2"/>
        <v>1</v>
      </c>
      <c r="U45">
        <f t="shared" si="3"/>
        <v>0</v>
      </c>
    </row>
    <row r="46" spans="1:21">
      <c r="A46" t="s">
        <v>94</v>
      </c>
      <c r="B46">
        <v>62</v>
      </c>
      <c r="C46">
        <v>442</v>
      </c>
      <c r="D46">
        <v>22</v>
      </c>
      <c r="E46">
        <v>207</v>
      </c>
      <c r="F46" s="3" t="s">
        <v>57</v>
      </c>
      <c r="G46">
        <v>168</v>
      </c>
      <c r="H46">
        <v>0.000231</v>
      </c>
      <c r="I46">
        <v>168</v>
      </c>
      <c r="J46">
        <v>0.010596</v>
      </c>
      <c r="K46">
        <v>29</v>
      </c>
      <c r="L46">
        <v>2</v>
      </c>
      <c r="M46">
        <v>0.013082</v>
      </c>
      <c r="N46">
        <v>16</v>
      </c>
      <c r="O46" s="3" t="s">
        <v>95</v>
      </c>
      <c r="P46">
        <v>16</v>
      </c>
      <c r="Q46">
        <v>0.030125</v>
      </c>
      <c r="S46">
        <v>0.017691</v>
      </c>
      <c r="T46">
        <f t="shared" si="2"/>
        <v>1</v>
      </c>
      <c r="U46">
        <f t="shared" si="3"/>
        <v>0</v>
      </c>
    </row>
    <row r="47" spans="1:21">
      <c r="A47" t="s">
        <v>96</v>
      </c>
      <c r="B47">
        <v>21</v>
      </c>
      <c r="C47">
        <v>23</v>
      </c>
      <c r="D47">
        <v>6</v>
      </c>
      <c r="E47">
        <v>15</v>
      </c>
      <c r="F47" s="3" t="s">
        <v>72</v>
      </c>
      <c r="G47">
        <v>15</v>
      </c>
      <c r="H47" s="3" t="s">
        <v>84</v>
      </c>
      <c r="I47">
        <v>15</v>
      </c>
      <c r="J47" s="3" t="s">
        <v>21</v>
      </c>
      <c r="K47">
        <v>1</v>
      </c>
      <c r="L47">
        <v>1</v>
      </c>
      <c r="M47">
        <v>0.030552</v>
      </c>
      <c r="N47">
        <v>5</v>
      </c>
      <c r="O47" s="3" t="s">
        <v>83</v>
      </c>
      <c r="P47">
        <v>5</v>
      </c>
      <c r="Q47">
        <v>0.047796</v>
      </c>
      <c r="S47">
        <v>0.013465</v>
      </c>
      <c r="T47">
        <f t="shared" si="2"/>
        <v>1</v>
      </c>
      <c r="U47">
        <f t="shared" si="3"/>
        <v>0</v>
      </c>
    </row>
    <row r="48" spans="1:21">
      <c r="A48" t="s">
        <v>97</v>
      </c>
      <c r="B48">
        <v>10</v>
      </c>
      <c r="C48">
        <v>5</v>
      </c>
      <c r="D48">
        <v>0</v>
      </c>
      <c r="E48">
        <v>0</v>
      </c>
      <c r="F48" s="3" t="s">
        <v>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0.002698</v>
      </c>
      <c r="N48">
        <v>2</v>
      </c>
      <c r="O48" s="3" t="s">
        <v>91</v>
      </c>
      <c r="P48">
        <v>2</v>
      </c>
      <c r="Q48">
        <v>0.007496</v>
      </c>
      <c r="S48">
        <v>0.009099</v>
      </c>
      <c r="T48">
        <f t="shared" si="2"/>
        <v>0</v>
      </c>
      <c r="U48">
        <f t="shared" si="3"/>
        <v>1</v>
      </c>
    </row>
    <row r="49" spans="1:21">
      <c r="A49" t="s">
        <v>98</v>
      </c>
      <c r="B49">
        <v>27</v>
      </c>
      <c r="C49">
        <v>26</v>
      </c>
      <c r="D49">
        <v>12</v>
      </c>
      <c r="E49">
        <v>16</v>
      </c>
      <c r="F49" s="3" t="s">
        <v>83</v>
      </c>
      <c r="G49">
        <v>13</v>
      </c>
      <c r="H49" s="3" t="s">
        <v>99</v>
      </c>
      <c r="I49">
        <v>10</v>
      </c>
      <c r="J49">
        <v>0.016296</v>
      </c>
      <c r="K49">
        <v>2</v>
      </c>
      <c r="L49">
        <v>2</v>
      </c>
      <c r="M49">
        <v>0.022145</v>
      </c>
      <c r="N49">
        <v>2</v>
      </c>
      <c r="O49" s="3" t="s">
        <v>31</v>
      </c>
      <c r="P49">
        <v>3</v>
      </c>
      <c r="Q49">
        <v>0.05245</v>
      </c>
      <c r="S49">
        <v>0.008511</v>
      </c>
      <c r="T49">
        <f t="shared" si="2"/>
        <v>1</v>
      </c>
      <c r="U49">
        <f t="shared" si="3"/>
        <v>0</v>
      </c>
    </row>
    <row r="50" spans="1:21">
      <c r="A50" t="s">
        <v>100</v>
      </c>
      <c r="B50">
        <v>273</v>
      </c>
      <c r="C50">
        <v>4510</v>
      </c>
      <c r="D50">
        <v>78</v>
      </c>
      <c r="E50">
        <v>2162</v>
      </c>
      <c r="F50">
        <v>0.000305</v>
      </c>
      <c r="G50">
        <v>2125</v>
      </c>
      <c r="H50">
        <v>0.007961</v>
      </c>
      <c r="I50">
        <v>2125</v>
      </c>
      <c r="J50">
        <v>0.570614</v>
      </c>
      <c r="K50">
        <v>477</v>
      </c>
      <c r="L50">
        <v>22</v>
      </c>
      <c r="M50">
        <v>0.105436</v>
      </c>
      <c r="N50">
        <v>34</v>
      </c>
      <c r="O50">
        <v>0.000572</v>
      </c>
      <c r="P50">
        <v>41</v>
      </c>
      <c r="Q50">
        <v>0.719322</v>
      </c>
      <c r="S50">
        <v>0.581874</v>
      </c>
      <c r="T50">
        <f t="shared" si="2"/>
        <v>1</v>
      </c>
      <c r="U50">
        <f t="shared" si="3"/>
        <v>0</v>
      </c>
    </row>
    <row r="51" spans="1:21">
      <c r="A51" t="s">
        <v>101</v>
      </c>
      <c r="B51">
        <v>102</v>
      </c>
      <c r="C51">
        <v>108</v>
      </c>
      <c r="D51">
        <v>11</v>
      </c>
      <c r="E51">
        <v>33</v>
      </c>
      <c r="F51" s="3" t="s">
        <v>25</v>
      </c>
      <c r="G51">
        <v>33</v>
      </c>
      <c r="H51" s="3" t="s">
        <v>102</v>
      </c>
      <c r="I51">
        <v>33</v>
      </c>
      <c r="J51">
        <v>0.005171</v>
      </c>
      <c r="K51">
        <v>9</v>
      </c>
      <c r="L51">
        <v>3</v>
      </c>
      <c r="M51">
        <v>0.007687</v>
      </c>
      <c r="N51">
        <v>4</v>
      </c>
      <c r="O51" s="3" t="s">
        <v>77</v>
      </c>
      <c r="P51">
        <v>5</v>
      </c>
      <c r="Q51">
        <v>0.034992</v>
      </c>
      <c r="S51">
        <v>0.013289</v>
      </c>
      <c r="T51">
        <f t="shared" si="2"/>
        <v>1</v>
      </c>
      <c r="U51">
        <f t="shared" si="3"/>
        <v>0</v>
      </c>
    </row>
    <row r="52" spans="1:21">
      <c r="A52" t="s">
        <v>103</v>
      </c>
      <c r="B52">
        <v>8</v>
      </c>
      <c r="C52">
        <v>4</v>
      </c>
      <c r="D52">
        <v>0</v>
      </c>
      <c r="E52">
        <v>0</v>
      </c>
      <c r="F52" s="3" t="s">
        <v>40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0.002843</v>
      </c>
      <c r="N52">
        <v>2</v>
      </c>
      <c r="O52" s="3" t="s">
        <v>40</v>
      </c>
      <c r="P52">
        <v>2</v>
      </c>
      <c r="Q52">
        <v>0.010673</v>
      </c>
      <c r="S52">
        <v>0.006114</v>
      </c>
      <c r="T52">
        <f t="shared" si="2"/>
        <v>1</v>
      </c>
      <c r="U52">
        <f t="shared" si="3"/>
        <v>0</v>
      </c>
    </row>
    <row r="53" spans="1:21">
      <c r="A53" t="s">
        <v>104</v>
      </c>
      <c r="B53">
        <v>55</v>
      </c>
      <c r="C53">
        <v>60</v>
      </c>
      <c r="D53">
        <v>8</v>
      </c>
      <c r="E53">
        <v>20</v>
      </c>
      <c r="F53" s="3" t="s">
        <v>25</v>
      </c>
      <c r="G53">
        <v>10</v>
      </c>
      <c r="H53" s="3" t="s">
        <v>79</v>
      </c>
      <c r="I53">
        <v>10</v>
      </c>
      <c r="J53">
        <v>0.007646</v>
      </c>
      <c r="K53">
        <v>7</v>
      </c>
      <c r="L53">
        <v>1</v>
      </c>
      <c r="M53">
        <v>0.016491</v>
      </c>
      <c r="N53">
        <v>4</v>
      </c>
      <c r="O53" s="3" t="s">
        <v>59</v>
      </c>
      <c r="P53">
        <v>4</v>
      </c>
      <c r="Q53">
        <v>0.033604</v>
      </c>
      <c r="S53">
        <v>0.010731</v>
      </c>
      <c r="T53">
        <f t="shared" si="2"/>
        <v>1</v>
      </c>
      <c r="U53">
        <f t="shared" si="3"/>
        <v>0</v>
      </c>
    </row>
    <row r="54" spans="1:21">
      <c r="A54" t="s">
        <v>105</v>
      </c>
      <c r="B54">
        <v>127</v>
      </c>
      <c r="C54">
        <v>931</v>
      </c>
      <c r="D54">
        <v>38</v>
      </c>
      <c r="E54">
        <v>449</v>
      </c>
      <c r="F54" s="3" t="s">
        <v>106</v>
      </c>
      <c r="G54">
        <v>408</v>
      </c>
      <c r="H54">
        <v>0.00075</v>
      </c>
      <c r="I54">
        <v>408</v>
      </c>
      <c r="J54">
        <v>0.040193</v>
      </c>
      <c r="K54">
        <v>144</v>
      </c>
      <c r="L54">
        <v>15</v>
      </c>
      <c r="M54">
        <v>0.012846</v>
      </c>
      <c r="N54">
        <v>16</v>
      </c>
      <c r="O54" s="2">
        <v>8.2e-5</v>
      </c>
      <c r="P54">
        <v>17</v>
      </c>
      <c r="Q54">
        <v>0.064108</v>
      </c>
      <c r="S54">
        <v>0.036712</v>
      </c>
      <c r="T54">
        <f t="shared" si="2"/>
        <v>1</v>
      </c>
      <c r="U54">
        <f t="shared" si="3"/>
        <v>0</v>
      </c>
    </row>
    <row r="55" spans="1:21">
      <c r="A55" t="s">
        <v>107</v>
      </c>
      <c r="B55">
        <v>16</v>
      </c>
      <c r="C55">
        <v>13</v>
      </c>
      <c r="D55">
        <v>5</v>
      </c>
      <c r="E55">
        <v>5</v>
      </c>
      <c r="F55" s="3" t="s">
        <v>91</v>
      </c>
      <c r="G55">
        <v>5</v>
      </c>
      <c r="H55" s="3" t="s">
        <v>72</v>
      </c>
      <c r="I55">
        <v>5</v>
      </c>
      <c r="J55">
        <v>0</v>
      </c>
      <c r="K55">
        <v>2</v>
      </c>
      <c r="L55">
        <v>2</v>
      </c>
      <c r="M55">
        <v>0.030303</v>
      </c>
      <c r="N55">
        <v>2</v>
      </c>
      <c r="O55" s="2">
        <v>6e-6</v>
      </c>
      <c r="P55">
        <v>2</v>
      </c>
      <c r="Q55">
        <v>0.041465</v>
      </c>
      <c r="S55">
        <v>0.018122</v>
      </c>
      <c r="T55">
        <f t="shared" si="2"/>
        <v>1</v>
      </c>
      <c r="U55">
        <f t="shared" si="3"/>
        <v>0</v>
      </c>
    </row>
    <row r="56" spans="1:21">
      <c r="A56" t="s">
        <v>108</v>
      </c>
      <c r="B56">
        <v>35</v>
      </c>
      <c r="C56">
        <v>368</v>
      </c>
      <c r="D56">
        <v>27</v>
      </c>
      <c r="E56">
        <v>351</v>
      </c>
      <c r="F56" s="3" t="s">
        <v>20</v>
      </c>
      <c r="G56">
        <v>351</v>
      </c>
      <c r="H56">
        <v>0.000489</v>
      </c>
      <c r="I56">
        <v>351</v>
      </c>
      <c r="J56" s="3" t="s">
        <v>85</v>
      </c>
      <c r="K56">
        <v>1</v>
      </c>
      <c r="L56">
        <v>1</v>
      </c>
      <c r="M56">
        <v>0.03109</v>
      </c>
      <c r="N56">
        <v>26</v>
      </c>
      <c r="O56" s="2">
        <v>2.4e-5</v>
      </c>
      <c r="P56">
        <v>26</v>
      </c>
      <c r="Q56">
        <v>0.041345</v>
      </c>
      <c r="S56">
        <v>0.023559</v>
      </c>
      <c r="T56">
        <f t="shared" si="2"/>
        <v>1</v>
      </c>
      <c r="U56">
        <f t="shared" si="3"/>
        <v>0</v>
      </c>
    </row>
    <row r="57" spans="1:21">
      <c r="A57" t="s">
        <v>109</v>
      </c>
      <c r="B57">
        <v>26</v>
      </c>
      <c r="C57">
        <v>15</v>
      </c>
      <c r="D57">
        <v>3</v>
      </c>
      <c r="E57">
        <v>1</v>
      </c>
      <c r="F57" s="3" t="s">
        <v>83</v>
      </c>
      <c r="G57">
        <v>0</v>
      </c>
      <c r="H57" s="3" t="s">
        <v>31</v>
      </c>
      <c r="I57">
        <v>0</v>
      </c>
      <c r="J57" s="3" t="s">
        <v>21</v>
      </c>
      <c r="K57">
        <v>0</v>
      </c>
      <c r="L57">
        <v>0</v>
      </c>
      <c r="M57">
        <v>0.003862</v>
      </c>
      <c r="N57">
        <v>2</v>
      </c>
      <c r="O57" s="3" t="s">
        <v>84</v>
      </c>
      <c r="P57">
        <v>2</v>
      </c>
      <c r="Q57">
        <v>0.011525</v>
      </c>
      <c r="S57">
        <v>0.005201</v>
      </c>
      <c r="T57">
        <f t="shared" si="2"/>
        <v>1</v>
      </c>
      <c r="U57">
        <f t="shared" si="3"/>
        <v>0</v>
      </c>
    </row>
    <row r="58" spans="1:21">
      <c r="A58" t="s">
        <v>110</v>
      </c>
      <c r="B58">
        <v>14</v>
      </c>
      <c r="C58">
        <v>11</v>
      </c>
      <c r="D58">
        <v>5</v>
      </c>
      <c r="E58">
        <v>3</v>
      </c>
      <c r="F58" s="3" t="s">
        <v>40</v>
      </c>
      <c r="G58">
        <v>3</v>
      </c>
      <c r="H58" s="3" t="s">
        <v>91</v>
      </c>
      <c r="I58">
        <v>3</v>
      </c>
      <c r="J58">
        <v>0</v>
      </c>
      <c r="K58">
        <v>1</v>
      </c>
      <c r="L58">
        <v>1</v>
      </c>
      <c r="M58">
        <v>0.01399</v>
      </c>
      <c r="N58">
        <v>2</v>
      </c>
      <c r="O58" s="3" t="s">
        <v>72</v>
      </c>
      <c r="P58">
        <v>2</v>
      </c>
      <c r="Q58">
        <v>0.025906</v>
      </c>
      <c r="S58">
        <v>0.014279</v>
      </c>
      <c r="T58">
        <f t="shared" si="2"/>
        <v>1</v>
      </c>
      <c r="U58">
        <f t="shared" si="3"/>
        <v>0</v>
      </c>
    </row>
    <row r="59" spans="1:21">
      <c r="A59" t="s">
        <v>111</v>
      </c>
      <c r="B59">
        <v>28</v>
      </c>
      <c r="C59">
        <v>91</v>
      </c>
      <c r="D59">
        <v>12</v>
      </c>
      <c r="E59">
        <v>55</v>
      </c>
      <c r="F59" s="3" t="s">
        <v>112</v>
      </c>
      <c r="G59">
        <v>55</v>
      </c>
      <c r="H59" s="3" t="s">
        <v>113</v>
      </c>
      <c r="I59">
        <v>55</v>
      </c>
      <c r="J59">
        <v>0.007367</v>
      </c>
      <c r="K59">
        <v>25</v>
      </c>
      <c r="L59">
        <v>4</v>
      </c>
      <c r="M59">
        <v>0.010781</v>
      </c>
      <c r="N59">
        <v>7</v>
      </c>
      <c r="O59" s="3" t="s">
        <v>114</v>
      </c>
      <c r="P59">
        <v>7</v>
      </c>
      <c r="Q59">
        <v>0.025617</v>
      </c>
      <c r="S59">
        <v>0.00826</v>
      </c>
      <c r="T59">
        <f t="shared" si="2"/>
        <v>1</v>
      </c>
      <c r="U59">
        <f t="shared" si="3"/>
        <v>0</v>
      </c>
    </row>
    <row r="60" spans="1:21">
      <c r="A60" t="s">
        <v>115</v>
      </c>
      <c r="B60">
        <v>26</v>
      </c>
      <c r="C60">
        <v>18</v>
      </c>
      <c r="D60">
        <v>6</v>
      </c>
      <c r="E60">
        <v>6</v>
      </c>
      <c r="F60" s="3" t="s">
        <v>91</v>
      </c>
      <c r="G60">
        <v>5</v>
      </c>
      <c r="H60" s="3" t="s">
        <v>83</v>
      </c>
      <c r="I60">
        <v>4</v>
      </c>
      <c r="J60">
        <v>0.009148</v>
      </c>
      <c r="K60">
        <v>1</v>
      </c>
      <c r="L60">
        <v>1</v>
      </c>
      <c r="M60">
        <v>0.013234</v>
      </c>
      <c r="N60">
        <v>2</v>
      </c>
      <c r="O60" s="2">
        <v>6e-6</v>
      </c>
      <c r="P60">
        <v>2</v>
      </c>
      <c r="Q60">
        <v>0.030573</v>
      </c>
      <c r="S60">
        <v>0.015911</v>
      </c>
      <c r="T60">
        <f t="shared" si="2"/>
        <v>1</v>
      </c>
      <c r="U60">
        <f t="shared" si="3"/>
        <v>0</v>
      </c>
    </row>
    <row r="61" spans="1:21">
      <c r="A61" t="s">
        <v>116</v>
      </c>
      <c r="B61">
        <v>13</v>
      </c>
      <c r="C61">
        <v>8</v>
      </c>
      <c r="D61">
        <v>2</v>
      </c>
      <c r="E61">
        <v>1</v>
      </c>
      <c r="F61" s="3" t="s">
        <v>40</v>
      </c>
      <c r="G61">
        <v>0</v>
      </c>
      <c r="H61" s="3" t="s">
        <v>40</v>
      </c>
      <c r="I61">
        <v>0</v>
      </c>
      <c r="J61">
        <v>0</v>
      </c>
      <c r="K61">
        <v>0</v>
      </c>
      <c r="L61">
        <v>0</v>
      </c>
      <c r="M61">
        <v>0.002308</v>
      </c>
      <c r="N61">
        <v>2</v>
      </c>
      <c r="O61" s="3" t="s">
        <v>72</v>
      </c>
      <c r="P61">
        <v>2</v>
      </c>
      <c r="Q61">
        <v>0.006269</v>
      </c>
      <c r="S61">
        <v>0.01235</v>
      </c>
      <c r="T61">
        <f t="shared" si="2"/>
        <v>0</v>
      </c>
      <c r="U61">
        <f t="shared" si="3"/>
        <v>1</v>
      </c>
    </row>
    <row r="62" spans="1:21">
      <c r="A62" t="s">
        <v>117</v>
      </c>
      <c r="B62">
        <v>18</v>
      </c>
      <c r="C62">
        <v>12</v>
      </c>
      <c r="D62">
        <v>5</v>
      </c>
      <c r="E62">
        <v>3</v>
      </c>
      <c r="F62" s="3" t="s">
        <v>91</v>
      </c>
      <c r="G62">
        <v>3</v>
      </c>
      <c r="H62" s="3" t="s">
        <v>72</v>
      </c>
      <c r="I62">
        <v>3</v>
      </c>
      <c r="J62">
        <v>0</v>
      </c>
      <c r="K62">
        <v>1</v>
      </c>
      <c r="L62">
        <v>1</v>
      </c>
      <c r="M62">
        <v>0.01055</v>
      </c>
      <c r="N62">
        <v>2</v>
      </c>
      <c r="O62" s="2">
        <v>4e-6</v>
      </c>
      <c r="P62">
        <v>2</v>
      </c>
      <c r="Q62">
        <v>0.017066</v>
      </c>
      <c r="S62">
        <v>0.022459</v>
      </c>
      <c r="T62">
        <f t="shared" si="2"/>
        <v>0</v>
      </c>
      <c r="U62">
        <f t="shared" si="3"/>
        <v>1</v>
      </c>
    </row>
    <row r="63" spans="1:21">
      <c r="A63" t="s">
        <v>118</v>
      </c>
      <c r="B63">
        <v>7</v>
      </c>
      <c r="C63">
        <v>5</v>
      </c>
      <c r="D63">
        <v>3</v>
      </c>
      <c r="E63">
        <v>3</v>
      </c>
      <c r="F63" s="3" t="s">
        <v>40</v>
      </c>
      <c r="G63">
        <v>3</v>
      </c>
      <c r="H63" s="3" t="s">
        <v>91</v>
      </c>
      <c r="I63">
        <v>3</v>
      </c>
      <c r="J63">
        <v>0</v>
      </c>
      <c r="K63">
        <v>1</v>
      </c>
      <c r="L63">
        <v>1</v>
      </c>
      <c r="M63">
        <v>0.021824</v>
      </c>
      <c r="N63">
        <v>2</v>
      </c>
      <c r="O63" s="3" t="s">
        <v>40</v>
      </c>
      <c r="P63">
        <v>2</v>
      </c>
      <c r="Q63">
        <v>0.043162</v>
      </c>
      <c r="S63">
        <v>0.016294</v>
      </c>
      <c r="T63">
        <f t="shared" si="2"/>
        <v>1</v>
      </c>
      <c r="U63">
        <f t="shared" si="3"/>
        <v>0</v>
      </c>
    </row>
    <row r="64" spans="1:21">
      <c r="A64" t="s">
        <v>119</v>
      </c>
      <c r="B64">
        <v>2623</v>
      </c>
      <c r="C64">
        <v>473614</v>
      </c>
      <c r="D64">
        <v>937</v>
      </c>
      <c r="E64">
        <v>353419</v>
      </c>
      <c r="F64">
        <v>0.058106</v>
      </c>
      <c r="G64">
        <v>352440</v>
      </c>
      <c r="H64">
        <v>39.6214</v>
      </c>
      <c r="I64">
        <v>352437</v>
      </c>
      <c r="J64">
        <v>413.371</v>
      </c>
      <c r="K64">
        <v>11809</v>
      </c>
      <c r="L64">
        <v>0</v>
      </c>
      <c r="M64">
        <v>-1</v>
      </c>
      <c r="N64">
        <v>427</v>
      </c>
      <c r="O64">
        <v>1.07231</v>
      </c>
      <c r="P64">
        <v>427</v>
      </c>
      <c r="Q64">
        <v>600</v>
      </c>
      <c r="S64">
        <v>600</v>
      </c>
      <c r="T64">
        <f t="shared" si="2"/>
        <v>0</v>
      </c>
      <c r="U64">
        <f t="shared" si="3"/>
        <v>0</v>
      </c>
    </row>
    <row r="65" spans="1:21">
      <c r="A65" t="s">
        <v>120</v>
      </c>
      <c r="B65">
        <v>56739</v>
      </c>
      <c r="C65">
        <v>212945</v>
      </c>
      <c r="D65">
        <v>1596</v>
      </c>
      <c r="E65">
        <v>36641</v>
      </c>
      <c r="F65">
        <v>0.012318</v>
      </c>
      <c r="G65">
        <v>14008</v>
      </c>
      <c r="H65">
        <v>0.18507</v>
      </c>
      <c r="I65">
        <v>13867</v>
      </c>
      <c r="J65">
        <v>1.05084</v>
      </c>
      <c r="K65">
        <v>6873</v>
      </c>
      <c r="L65">
        <v>0</v>
      </c>
      <c r="M65">
        <v>-1</v>
      </c>
      <c r="N65">
        <v>18</v>
      </c>
      <c r="O65">
        <v>0.034638</v>
      </c>
      <c r="P65">
        <v>26</v>
      </c>
      <c r="Q65">
        <v>600</v>
      </c>
      <c r="S65">
        <v>600</v>
      </c>
      <c r="T65">
        <f t="shared" si="2"/>
        <v>0</v>
      </c>
      <c r="U65">
        <f t="shared" si="3"/>
        <v>0</v>
      </c>
    </row>
    <row r="66" spans="1:21">
      <c r="A66" t="s">
        <v>121</v>
      </c>
      <c r="B66">
        <v>62</v>
      </c>
      <c r="C66">
        <v>159</v>
      </c>
      <c r="D66">
        <v>31</v>
      </c>
      <c r="E66">
        <v>90</v>
      </c>
      <c r="F66" s="3" t="s">
        <v>122</v>
      </c>
      <c r="G66">
        <v>0</v>
      </c>
      <c r="H66" s="3" t="s">
        <v>123</v>
      </c>
      <c r="I66">
        <v>0</v>
      </c>
      <c r="J66" s="3" t="s">
        <v>21</v>
      </c>
      <c r="K66">
        <v>0</v>
      </c>
      <c r="L66">
        <v>0</v>
      </c>
      <c r="M66">
        <v>0.003182</v>
      </c>
      <c r="N66">
        <v>5</v>
      </c>
      <c r="O66" s="3" t="s">
        <v>122</v>
      </c>
      <c r="P66">
        <v>5</v>
      </c>
      <c r="Q66">
        <v>0.00989</v>
      </c>
      <c r="S66">
        <v>0.005812</v>
      </c>
      <c r="T66">
        <f t="shared" si="2"/>
        <v>1</v>
      </c>
      <c r="U66">
        <f t="shared" si="3"/>
        <v>0</v>
      </c>
    </row>
    <row r="67" spans="1:21">
      <c r="A67" t="s">
        <v>124</v>
      </c>
      <c r="B67">
        <v>154908</v>
      </c>
      <c r="C67">
        <v>327162</v>
      </c>
      <c r="D67">
        <v>15766</v>
      </c>
      <c r="E67">
        <v>134615</v>
      </c>
      <c r="F67">
        <v>0.037528</v>
      </c>
      <c r="G67">
        <v>5524</v>
      </c>
      <c r="H67">
        <v>0.117346</v>
      </c>
      <c r="I67">
        <v>5036</v>
      </c>
      <c r="J67">
        <v>0.071691</v>
      </c>
      <c r="K67">
        <v>928</v>
      </c>
      <c r="L67">
        <v>337</v>
      </c>
      <c r="M67">
        <v>10.2297</v>
      </c>
      <c r="N67">
        <v>5</v>
      </c>
      <c r="O67" s="2">
        <v>0.0431</v>
      </c>
      <c r="P67">
        <v>6</v>
      </c>
      <c r="Q67">
        <v>10.6322</v>
      </c>
      <c r="S67">
        <v>6.72864</v>
      </c>
      <c r="T67">
        <f t="shared" ref="T67:T96" si="4">IF(S67&lt;Q67,1,0)</f>
        <v>1</v>
      </c>
      <c r="U67">
        <f t="shared" ref="U67:U96" si="5">IF(Q67&lt;S67,1,0)</f>
        <v>0</v>
      </c>
    </row>
    <row r="68" spans="1:21">
      <c r="A68" t="s">
        <v>125</v>
      </c>
      <c r="B68">
        <v>26588</v>
      </c>
      <c r="C68">
        <v>100120</v>
      </c>
      <c r="D68">
        <v>2833</v>
      </c>
      <c r="E68">
        <v>47284</v>
      </c>
      <c r="F68">
        <v>0.010126</v>
      </c>
      <c r="G68">
        <v>10588</v>
      </c>
      <c r="H68">
        <v>0.10343</v>
      </c>
      <c r="I68">
        <v>10107</v>
      </c>
      <c r="J68">
        <v>0.800504</v>
      </c>
      <c r="K68">
        <v>608</v>
      </c>
      <c r="L68">
        <v>195</v>
      </c>
      <c r="M68">
        <v>0.770307</v>
      </c>
      <c r="N68">
        <v>11</v>
      </c>
      <c r="O68" s="2">
        <v>0.010347</v>
      </c>
      <c r="P68">
        <v>13</v>
      </c>
      <c r="Q68">
        <v>1.73634</v>
      </c>
      <c r="S68">
        <v>0.573129</v>
      </c>
      <c r="T68">
        <f t="shared" si="4"/>
        <v>1</v>
      </c>
      <c r="U68">
        <f t="shared" si="5"/>
        <v>0</v>
      </c>
    </row>
    <row r="69" spans="1:21">
      <c r="A69" t="s">
        <v>126</v>
      </c>
      <c r="B69">
        <v>22900</v>
      </c>
      <c r="C69">
        <v>852419</v>
      </c>
      <c r="D69">
        <v>15178</v>
      </c>
      <c r="E69">
        <v>753030</v>
      </c>
      <c r="F69">
        <v>0.150239</v>
      </c>
      <c r="G69">
        <v>112707</v>
      </c>
      <c r="H69">
        <v>6.37623</v>
      </c>
      <c r="I69">
        <v>112292</v>
      </c>
      <c r="J69">
        <v>1.23617</v>
      </c>
      <c r="K69">
        <v>1159</v>
      </c>
      <c r="L69">
        <v>0</v>
      </c>
      <c r="M69">
        <v>-1</v>
      </c>
      <c r="N69">
        <v>28</v>
      </c>
      <c r="O69">
        <v>0.224822</v>
      </c>
      <c r="P69">
        <v>38</v>
      </c>
      <c r="Q69">
        <v>600</v>
      </c>
      <c r="S69">
        <v>600</v>
      </c>
      <c r="T69">
        <f t="shared" si="4"/>
        <v>0</v>
      </c>
      <c r="U69">
        <f t="shared" si="5"/>
        <v>0</v>
      </c>
    </row>
    <row r="70" spans="1:21">
      <c r="A70" t="s">
        <v>127</v>
      </c>
      <c r="B70">
        <v>6621</v>
      </c>
      <c r="C70">
        <v>249959</v>
      </c>
      <c r="D70">
        <v>4373</v>
      </c>
      <c r="E70">
        <v>222053</v>
      </c>
      <c r="F70">
        <v>0.036832</v>
      </c>
      <c r="G70">
        <v>62168</v>
      </c>
      <c r="H70">
        <v>1.56026</v>
      </c>
      <c r="I70">
        <v>61700</v>
      </c>
      <c r="J70">
        <v>0.917508</v>
      </c>
      <c r="K70">
        <v>2307</v>
      </c>
      <c r="L70">
        <v>791</v>
      </c>
      <c r="M70">
        <v>521.738</v>
      </c>
      <c r="N70">
        <v>28</v>
      </c>
      <c r="O70" s="2">
        <v>0.039602</v>
      </c>
      <c r="P70">
        <v>33</v>
      </c>
      <c r="Q70">
        <v>524.415</v>
      </c>
      <c r="S70">
        <v>367.803</v>
      </c>
      <c r="T70">
        <f t="shared" si="4"/>
        <v>1</v>
      </c>
      <c r="U70">
        <f t="shared" si="5"/>
        <v>0</v>
      </c>
    </row>
    <row r="71" spans="1:21">
      <c r="A71" t="s">
        <v>128</v>
      </c>
      <c r="B71">
        <v>9885</v>
      </c>
      <c r="C71">
        <v>506437</v>
      </c>
      <c r="D71">
        <v>7752</v>
      </c>
      <c r="E71">
        <v>486246</v>
      </c>
      <c r="F71">
        <v>0.099621</v>
      </c>
      <c r="G71">
        <v>205992</v>
      </c>
      <c r="H71">
        <v>4.98019</v>
      </c>
      <c r="I71">
        <v>205496</v>
      </c>
      <c r="J71">
        <v>1.16761</v>
      </c>
      <c r="K71">
        <v>432</v>
      </c>
      <c r="L71">
        <v>0</v>
      </c>
      <c r="M71">
        <v>-1</v>
      </c>
      <c r="N71">
        <v>24</v>
      </c>
      <c r="O71">
        <v>0.115778</v>
      </c>
      <c r="P71">
        <v>32</v>
      </c>
      <c r="Q71">
        <v>600</v>
      </c>
      <c r="S71">
        <v>600</v>
      </c>
      <c r="T71">
        <f t="shared" si="4"/>
        <v>0</v>
      </c>
      <c r="U71">
        <f t="shared" si="5"/>
        <v>0</v>
      </c>
    </row>
    <row r="72" spans="1:21">
      <c r="A72" t="s">
        <v>129</v>
      </c>
      <c r="B72">
        <v>6402</v>
      </c>
      <c r="C72">
        <v>251230</v>
      </c>
      <c r="D72">
        <v>4444</v>
      </c>
      <c r="E72">
        <v>232626</v>
      </c>
      <c r="F72">
        <v>0.042615</v>
      </c>
      <c r="G72">
        <v>85974</v>
      </c>
      <c r="H72">
        <v>1.77652</v>
      </c>
      <c r="I72">
        <v>85534</v>
      </c>
      <c r="J72">
        <v>0.743542</v>
      </c>
      <c r="K72">
        <v>1085</v>
      </c>
      <c r="L72">
        <v>373</v>
      </c>
      <c r="M72">
        <v>556.076</v>
      </c>
      <c r="N72">
        <v>25</v>
      </c>
      <c r="O72" s="2">
        <v>0.043347</v>
      </c>
      <c r="P72">
        <v>29</v>
      </c>
      <c r="Q72">
        <v>558.852</v>
      </c>
      <c r="S72">
        <v>384.696</v>
      </c>
      <c r="T72">
        <f t="shared" si="4"/>
        <v>1</v>
      </c>
      <c r="U72">
        <f t="shared" si="5"/>
        <v>0</v>
      </c>
    </row>
    <row r="73" spans="1:21">
      <c r="A73" t="s">
        <v>130</v>
      </c>
      <c r="B73">
        <v>63392</v>
      </c>
      <c r="C73">
        <v>816886</v>
      </c>
      <c r="D73">
        <v>19915</v>
      </c>
      <c r="E73">
        <v>575419</v>
      </c>
      <c r="F73">
        <v>0.122268</v>
      </c>
      <c r="G73">
        <v>163944</v>
      </c>
      <c r="H73">
        <v>2.29476</v>
      </c>
      <c r="I73">
        <v>163494</v>
      </c>
      <c r="J73">
        <v>0.51796</v>
      </c>
      <c r="K73">
        <v>774</v>
      </c>
      <c r="L73">
        <v>0</v>
      </c>
      <c r="M73">
        <v>-1</v>
      </c>
      <c r="N73">
        <v>17</v>
      </c>
      <c r="O73" s="2">
        <v>0.130132</v>
      </c>
      <c r="P73">
        <v>27</v>
      </c>
      <c r="Q73">
        <v>600</v>
      </c>
      <c r="S73">
        <v>600</v>
      </c>
      <c r="T73">
        <f t="shared" si="4"/>
        <v>0</v>
      </c>
      <c r="U73">
        <f t="shared" si="5"/>
        <v>0</v>
      </c>
    </row>
    <row r="74" spans="1:21">
      <c r="A74" t="s">
        <v>131</v>
      </c>
      <c r="B74">
        <v>11586</v>
      </c>
      <c r="C74">
        <v>568309</v>
      </c>
      <c r="D74">
        <v>7630</v>
      </c>
      <c r="E74">
        <v>528147</v>
      </c>
      <c r="F74">
        <v>0.101143</v>
      </c>
      <c r="G74">
        <v>194090</v>
      </c>
      <c r="H74">
        <v>5.13065</v>
      </c>
      <c r="I74">
        <v>193597</v>
      </c>
      <c r="J74">
        <v>1.1767</v>
      </c>
      <c r="K74">
        <v>550</v>
      </c>
      <c r="L74">
        <v>0</v>
      </c>
      <c r="M74">
        <v>-1</v>
      </c>
      <c r="N74">
        <v>28</v>
      </c>
      <c r="O74">
        <v>0.126225</v>
      </c>
      <c r="P74">
        <v>48</v>
      </c>
      <c r="Q74">
        <v>600</v>
      </c>
      <c r="S74">
        <v>600</v>
      </c>
      <c r="T74">
        <f t="shared" si="4"/>
        <v>0</v>
      </c>
      <c r="U74">
        <f t="shared" si="5"/>
        <v>0</v>
      </c>
    </row>
    <row r="75" spans="1:21">
      <c r="A75" t="s">
        <v>132</v>
      </c>
      <c r="B75">
        <v>20453</v>
      </c>
      <c r="C75">
        <v>747604</v>
      </c>
      <c r="D75">
        <v>12158</v>
      </c>
      <c r="E75">
        <v>638012</v>
      </c>
      <c r="F75">
        <v>0.113177</v>
      </c>
      <c r="G75">
        <v>97646</v>
      </c>
      <c r="H75">
        <v>4.70915</v>
      </c>
      <c r="I75">
        <v>97211</v>
      </c>
      <c r="J75">
        <v>1.45393</v>
      </c>
      <c r="K75">
        <v>1211</v>
      </c>
      <c r="L75">
        <v>0</v>
      </c>
      <c r="M75">
        <v>-1</v>
      </c>
      <c r="N75">
        <v>31</v>
      </c>
      <c r="O75">
        <v>0.130583</v>
      </c>
      <c r="P75">
        <v>46</v>
      </c>
      <c r="Q75">
        <v>600</v>
      </c>
      <c r="S75">
        <v>600</v>
      </c>
      <c r="T75">
        <f t="shared" si="4"/>
        <v>0</v>
      </c>
      <c r="U75">
        <f t="shared" si="5"/>
        <v>0</v>
      </c>
    </row>
    <row r="76" spans="1:21">
      <c r="A76" t="s">
        <v>133</v>
      </c>
      <c r="B76">
        <v>17206</v>
      </c>
      <c r="C76">
        <v>604867</v>
      </c>
      <c r="D76">
        <v>11698</v>
      </c>
      <c r="E76">
        <v>525842</v>
      </c>
      <c r="F76">
        <v>0.109276</v>
      </c>
      <c r="G76">
        <v>56021</v>
      </c>
      <c r="H76">
        <v>3.47505</v>
      </c>
      <c r="I76">
        <v>55622</v>
      </c>
      <c r="J76">
        <v>1.5312</v>
      </c>
      <c r="K76">
        <v>2384</v>
      </c>
      <c r="L76">
        <v>0</v>
      </c>
      <c r="M76">
        <v>-1</v>
      </c>
      <c r="N76">
        <v>29</v>
      </c>
      <c r="O76">
        <v>0.122162</v>
      </c>
      <c r="P76">
        <v>42</v>
      </c>
      <c r="Q76">
        <v>600</v>
      </c>
      <c r="S76">
        <v>600</v>
      </c>
      <c r="T76">
        <f t="shared" si="4"/>
        <v>0</v>
      </c>
      <c r="U76">
        <f t="shared" si="5"/>
        <v>0</v>
      </c>
    </row>
    <row r="77" spans="1:21">
      <c r="A77" t="s">
        <v>134</v>
      </c>
      <c r="B77">
        <v>14917</v>
      </c>
      <c r="C77">
        <v>482215</v>
      </c>
      <c r="D77">
        <v>7863</v>
      </c>
      <c r="E77">
        <v>363976</v>
      </c>
      <c r="F77">
        <v>0.076778</v>
      </c>
      <c r="G77">
        <v>33502</v>
      </c>
      <c r="H77">
        <v>2.45359</v>
      </c>
      <c r="I77">
        <v>33305</v>
      </c>
      <c r="J77">
        <v>3.18343</v>
      </c>
      <c r="K77">
        <v>7101</v>
      </c>
      <c r="L77">
        <v>0</v>
      </c>
      <c r="M77">
        <v>-1</v>
      </c>
      <c r="N77">
        <v>36</v>
      </c>
      <c r="O77">
        <v>0.092431</v>
      </c>
      <c r="P77">
        <v>40</v>
      </c>
      <c r="Q77">
        <v>600</v>
      </c>
      <c r="S77">
        <v>600</v>
      </c>
      <c r="T77">
        <f t="shared" si="4"/>
        <v>0</v>
      </c>
      <c r="U77">
        <f t="shared" si="5"/>
        <v>0</v>
      </c>
    </row>
    <row r="78" spans="1:21">
      <c r="A78" t="s">
        <v>135</v>
      </c>
      <c r="B78">
        <v>23831</v>
      </c>
      <c r="C78">
        <v>835946</v>
      </c>
      <c r="D78">
        <v>17487</v>
      </c>
      <c r="E78">
        <v>763105</v>
      </c>
      <c r="F78">
        <v>0.139369</v>
      </c>
      <c r="G78">
        <v>133328</v>
      </c>
      <c r="H78">
        <v>4.88591</v>
      </c>
      <c r="I78">
        <v>132882</v>
      </c>
      <c r="J78">
        <v>0.730178</v>
      </c>
      <c r="K78">
        <v>798</v>
      </c>
      <c r="L78">
        <v>0</v>
      </c>
      <c r="M78">
        <v>-1</v>
      </c>
      <c r="N78">
        <v>24</v>
      </c>
      <c r="O78">
        <v>0.142818</v>
      </c>
      <c r="P78">
        <v>34</v>
      </c>
      <c r="Q78">
        <v>600</v>
      </c>
      <c r="S78">
        <v>600</v>
      </c>
      <c r="T78">
        <f t="shared" si="4"/>
        <v>0</v>
      </c>
      <c r="U78">
        <f t="shared" si="5"/>
        <v>0</v>
      </c>
    </row>
    <row r="79" spans="1:21">
      <c r="A79" t="s">
        <v>136</v>
      </c>
      <c r="B79">
        <v>196591</v>
      </c>
      <c r="C79">
        <v>950327</v>
      </c>
      <c r="D79">
        <v>18517</v>
      </c>
      <c r="E79">
        <v>379045</v>
      </c>
      <c r="F79">
        <v>0.100475</v>
      </c>
      <c r="G79">
        <v>110524</v>
      </c>
      <c r="H79">
        <v>1.35226</v>
      </c>
      <c r="I79">
        <v>110053</v>
      </c>
      <c r="J79">
        <v>0.443564</v>
      </c>
      <c r="K79">
        <v>685</v>
      </c>
      <c r="L79">
        <v>0</v>
      </c>
      <c r="M79">
        <v>-1</v>
      </c>
      <c r="N79">
        <v>13</v>
      </c>
      <c r="O79">
        <v>0.175145</v>
      </c>
      <c r="P79">
        <v>26</v>
      </c>
      <c r="Q79">
        <v>600</v>
      </c>
      <c r="S79">
        <v>600</v>
      </c>
      <c r="T79">
        <f t="shared" si="4"/>
        <v>0</v>
      </c>
      <c r="U79">
        <f t="shared" si="5"/>
        <v>0</v>
      </c>
    </row>
    <row r="80" spans="1:21">
      <c r="A80" t="s">
        <v>137</v>
      </c>
      <c r="B80">
        <v>34</v>
      </c>
      <c r="C80">
        <v>78</v>
      </c>
      <c r="D80">
        <v>13</v>
      </c>
      <c r="E80">
        <v>33</v>
      </c>
      <c r="F80" s="3" t="s">
        <v>138</v>
      </c>
      <c r="G80">
        <v>14</v>
      </c>
      <c r="H80" s="3" t="s">
        <v>38</v>
      </c>
      <c r="I80">
        <v>14</v>
      </c>
      <c r="J80">
        <v>0.012662</v>
      </c>
      <c r="K80">
        <v>13</v>
      </c>
      <c r="L80">
        <v>2</v>
      </c>
      <c r="M80">
        <v>0.01547</v>
      </c>
      <c r="N80">
        <v>4</v>
      </c>
      <c r="O80" s="2">
        <v>2.4e-5</v>
      </c>
      <c r="P80">
        <v>4</v>
      </c>
      <c r="Q80">
        <v>0.041304</v>
      </c>
      <c r="S80">
        <v>0.018636</v>
      </c>
      <c r="T80">
        <f t="shared" si="4"/>
        <v>1</v>
      </c>
      <c r="U80">
        <f t="shared" si="5"/>
        <v>0</v>
      </c>
    </row>
    <row r="81" spans="1:21">
      <c r="A81" t="s">
        <v>139</v>
      </c>
      <c r="B81">
        <v>70068</v>
      </c>
      <c r="C81">
        <v>358647</v>
      </c>
      <c r="D81">
        <v>14033</v>
      </c>
      <c r="E81">
        <v>238865</v>
      </c>
      <c r="F81">
        <v>0.05284</v>
      </c>
      <c r="G81">
        <v>29679</v>
      </c>
      <c r="H81">
        <v>0.5428</v>
      </c>
      <c r="I81">
        <v>29381</v>
      </c>
      <c r="J81">
        <v>0.306223</v>
      </c>
      <c r="K81">
        <v>4079</v>
      </c>
      <c r="L81">
        <v>0</v>
      </c>
      <c r="M81">
        <v>-1</v>
      </c>
      <c r="N81">
        <v>8</v>
      </c>
      <c r="O81">
        <v>0.046089</v>
      </c>
      <c r="P81">
        <v>17</v>
      </c>
      <c r="Q81">
        <v>600</v>
      </c>
      <c r="S81">
        <v>600</v>
      </c>
      <c r="T81">
        <f t="shared" si="4"/>
        <v>0</v>
      </c>
      <c r="U81">
        <f t="shared" si="5"/>
        <v>0</v>
      </c>
    </row>
    <row r="82" spans="1:21">
      <c r="A82" t="s">
        <v>140</v>
      </c>
      <c r="B82">
        <v>404719</v>
      </c>
      <c r="C82">
        <v>713319</v>
      </c>
      <c r="D82">
        <v>46489</v>
      </c>
      <c r="E82">
        <v>304864</v>
      </c>
      <c r="F82">
        <v>0.095291</v>
      </c>
      <c r="G82">
        <v>8866</v>
      </c>
      <c r="H82">
        <v>0.477075</v>
      </c>
      <c r="I82">
        <v>8509</v>
      </c>
      <c r="J82">
        <v>0.091673</v>
      </c>
      <c r="K82">
        <v>1046</v>
      </c>
      <c r="L82">
        <v>609</v>
      </c>
      <c r="M82">
        <v>7.34023</v>
      </c>
      <c r="N82">
        <v>3</v>
      </c>
      <c r="O82">
        <v>0.109846</v>
      </c>
      <c r="P82">
        <v>4</v>
      </c>
      <c r="Q82">
        <v>8.38253</v>
      </c>
      <c r="S82">
        <v>4.82055</v>
      </c>
      <c r="T82">
        <f t="shared" si="4"/>
        <v>1</v>
      </c>
      <c r="U82">
        <f t="shared" si="5"/>
        <v>0</v>
      </c>
    </row>
    <row r="83" spans="1:21">
      <c r="A83" t="s">
        <v>141</v>
      </c>
      <c r="B83">
        <v>889</v>
      </c>
      <c r="C83">
        <v>2914</v>
      </c>
      <c r="D83">
        <v>235</v>
      </c>
      <c r="E83">
        <v>1369</v>
      </c>
      <c r="F83">
        <v>0.00022</v>
      </c>
      <c r="G83">
        <v>147</v>
      </c>
      <c r="H83">
        <v>0.00092</v>
      </c>
      <c r="I83">
        <v>21</v>
      </c>
      <c r="J83">
        <v>0.027218</v>
      </c>
      <c r="K83">
        <v>43</v>
      </c>
      <c r="L83">
        <v>1</v>
      </c>
      <c r="M83">
        <v>0.012646</v>
      </c>
      <c r="N83">
        <v>6</v>
      </c>
      <c r="O83">
        <v>0.000178</v>
      </c>
      <c r="P83">
        <v>6</v>
      </c>
      <c r="Q83">
        <v>0.043247</v>
      </c>
      <c r="S83">
        <v>0.017727</v>
      </c>
      <c r="T83">
        <f t="shared" si="4"/>
        <v>1</v>
      </c>
      <c r="U83">
        <f t="shared" si="5"/>
        <v>0</v>
      </c>
    </row>
    <row r="84" spans="1:21">
      <c r="A84" t="s">
        <v>142</v>
      </c>
      <c r="B84">
        <v>26475</v>
      </c>
      <c r="C84">
        <v>53381</v>
      </c>
      <c r="D84">
        <v>270</v>
      </c>
      <c r="E84">
        <v>3715</v>
      </c>
      <c r="F84">
        <v>0.001636</v>
      </c>
      <c r="G84">
        <v>1433</v>
      </c>
      <c r="H84">
        <v>0.00798</v>
      </c>
      <c r="I84">
        <v>1108</v>
      </c>
      <c r="J84">
        <v>0.477308</v>
      </c>
      <c r="K84">
        <v>1998</v>
      </c>
      <c r="L84">
        <v>331</v>
      </c>
      <c r="M84">
        <v>0.433726</v>
      </c>
      <c r="N84">
        <v>10</v>
      </c>
      <c r="O84">
        <v>0.003108</v>
      </c>
      <c r="P84">
        <v>10</v>
      </c>
      <c r="Q84">
        <v>0.941155</v>
      </c>
      <c r="S84">
        <v>0.394483</v>
      </c>
      <c r="T84">
        <f t="shared" si="4"/>
        <v>1</v>
      </c>
      <c r="U84">
        <f t="shared" si="5"/>
        <v>0</v>
      </c>
    </row>
    <row r="85" spans="1:21">
      <c r="A85" t="s">
        <v>143</v>
      </c>
      <c r="B85">
        <v>40164</v>
      </c>
      <c r="C85">
        <v>85123</v>
      </c>
      <c r="D85">
        <v>951</v>
      </c>
      <c r="E85">
        <v>10372</v>
      </c>
      <c r="F85">
        <v>0.003844</v>
      </c>
      <c r="G85">
        <v>4064</v>
      </c>
      <c r="H85">
        <v>0.024285</v>
      </c>
      <c r="I85">
        <v>3760</v>
      </c>
      <c r="J85">
        <v>0.386626</v>
      </c>
      <c r="K85">
        <v>2536</v>
      </c>
      <c r="L85">
        <v>535</v>
      </c>
      <c r="M85">
        <v>2.57321</v>
      </c>
      <c r="N85">
        <v>8</v>
      </c>
      <c r="O85" s="2">
        <v>0.006737</v>
      </c>
      <c r="P85">
        <v>10</v>
      </c>
      <c r="Q85">
        <v>3.02519</v>
      </c>
      <c r="S85">
        <v>0.935904</v>
      </c>
      <c r="T85">
        <f t="shared" si="4"/>
        <v>1</v>
      </c>
      <c r="U85">
        <f t="shared" si="5"/>
        <v>0</v>
      </c>
    </row>
    <row r="86" spans="1:21">
      <c r="A86" t="s">
        <v>144</v>
      </c>
      <c r="B86">
        <v>62561</v>
      </c>
      <c r="C86">
        <v>147878</v>
      </c>
      <c r="D86">
        <v>24443</v>
      </c>
      <c r="E86">
        <v>100454</v>
      </c>
      <c r="F86">
        <v>0.031506</v>
      </c>
      <c r="G86">
        <v>379</v>
      </c>
      <c r="H86">
        <v>0.049193</v>
      </c>
      <c r="I86">
        <v>90</v>
      </c>
      <c r="J86">
        <v>0.162787</v>
      </c>
      <c r="K86">
        <v>181</v>
      </c>
      <c r="L86">
        <v>16</v>
      </c>
      <c r="M86">
        <v>0.00831</v>
      </c>
      <c r="N86">
        <v>3</v>
      </c>
      <c r="O86">
        <v>0.023327</v>
      </c>
      <c r="P86">
        <v>3</v>
      </c>
      <c r="Q86">
        <v>0.34705</v>
      </c>
      <c r="S86">
        <v>0.153693</v>
      </c>
      <c r="T86">
        <f t="shared" si="4"/>
        <v>1</v>
      </c>
      <c r="U86">
        <f t="shared" si="5"/>
        <v>0</v>
      </c>
    </row>
    <row r="87" spans="1:21">
      <c r="A87" t="s">
        <v>145</v>
      </c>
      <c r="B87">
        <v>190914</v>
      </c>
      <c r="C87">
        <v>607610</v>
      </c>
      <c r="D87">
        <v>18240</v>
      </c>
      <c r="E87">
        <v>194600</v>
      </c>
      <c r="F87">
        <v>0.062254</v>
      </c>
      <c r="G87">
        <v>22122</v>
      </c>
      <c r="H87">
        <v>0.278846</v>
      </c>
      <c r="I87">
        <v>21765</v>
      </c>
      <c r="J87">
        <v>0.165037</v>
      </c>
      <c r="K87">
        <v>3213</v>
      </c>
      <c r="L87">
        <v>0</v>
      </c>
      <c r="M87">
        <v>-1</v>
      </c>
      <c r="N87">
        <v>8</v>
      </c>
      <c r="O87">
        <v>0.11538</v>
      </c>
      <c r="P87">
        <v>10</v>
      </c>
      <c r="Q87">
        <v>600</v>
      </c>
      <c r="S87">
        <v>600</v>
      </c>
      <c r="T87">
        <f t="shared" si="4"/>
        <v>0</v>
      </c>
      <c r="U87">
        <f t="shared" si="5"/>
        <v>0</v>
      </c>
    </row>
    <row r="88" spans="1:21">
      <c r="A88" t="s">
        <v>146</v>
      </c>
      <c r="B88">
        <v>2113</v>
      </c>
      <c r="C88">
        <v>6632</v>
      </c>
      <c r="D88">
        <v>24</v>
      </c>
      <c r="E88">
        <v>238</v>
      </c>
      <c r="F88">
        <v>0.00014</v>
      </c>
      <c r="G88">
        <v>194</v>
      </c>
      <c r="H88">
        <v>0.000288</v>
      </c>
      <c r="I88">
        <v>194</v>
      </c>
      <c r="J88">
        <v>0.015422</v>
      </c>
      <c r="K88">
        <v>35</v>
      </c>
      <c r="L88">
        <v>4</v>
      </c>
      <c r="M88">
        <v>0.008153</v>
      </c>
      <c r="N88">
        <v>15</v>
      </c>
      <c r="O88" s="2">
        <v>0.0005</v>
      </c>
      <c r="P88">
        <v>15</v>
      </c>
      <c r="Q88">
        <v>0.026645</v>
      </c>
      <c r="S88">
        <v>0.019352</v>
      </c>
      <c r="T88">
        <f t="shared" si="4"/>
        <v>1</v>
      </c>
      <c r="U88">
        <f t="shared" si="5"/>
        <v>0</v>
      </c>
    </row>
    <row r="89" spans="1:21">
      <c r="A89" t="s">
        <v>147</v>
      </c>
      <c r="B89">
        <v>7476</v>
      </c>
      <c r="C89">
        <v>56943</v>
      </c>
      <c r="D89">
        <v>604</v>
      </c>
      <c r="E89">
        <v>28664</v>
      </c>
      <c r="F89">
        <v>0.006654</v>
      </c>
      <c r="G89">
        <v>21287</v>
      </c>
      <c r="H89">
        <v>0.349372</v>
      </c>
      <c r="I89">
        <v>21175</v>
      </c>
      <c r="J89">
        <v>3.95381</v>
      </c>
      <c r="K89">
        <v>3981</v>
      </c>
      <c r="L89">
        <v>797</v>
      </c>
      <c r="M89">
        <v>15.8118</v>
      </c>
      <c r="N89">
        <v>31</v>
      </c>
      <c r="O89">
        <v>0.007995</v>
      </c>
      <c r="P89">
        <v>52</v>
      </c>
      <c r="Q89">
        <v>20.1669</v>
      </c>
      <c r="S89">
        <v>9.1494</v>
      </c>
      <c r="T89">
        <f t="shared" si="4"/>
        <v>1</v>
      </c>
      <c r="U89">
        <f t="shared" si="5"/>
        <v>0</v>
      </c>
    </row>
    <row r="90" spans="1:21">
      <c r="A90" t="s">
        <v>148</v>
      </c>
      <c r="B90">
        <v>3031</v>
      </c>
      <c r="C90">
        <v>6474</v>
      </c>
      <c r="D90">
        <v>30</v>
      </c>
      <c r="E90">
        <v>435</v>
      </c>
      <c r="F90" s="3" t="s">
        <v>149</v>
      </c>
      <c r="G90">
        <v>435</v>
      </c>
      <c r="H90">
        <v>0.00074</v>
      </c>
      <c r="I90">
        <v>435</v>
      </c>
      <c r="J90" s="3" t="s">
        <v>55</v>
      </c>
      <c r="K90">
        <v>3</v>
      </c>
      <c r="L90">
        <v>3</v>
      </c>
      <c r="M90">
        <v>0.023397</v>
      </c>
      <c r="N90">
        <v>28</v>
      </c>
      <c r="O90">
        <v>0.000248</v>
      </c>
      <c r="P90">
        <v>29</v>
      </c>
      <c r="Q90">
        <v>0.02598</v>
      </c>
      <c r="S90">
        <v>0.06098</v>
      </c>
      <c r="T90">
        <f t="shared" si="4"/>
        <v>0</v>
      </c>
      <c r="U90">
        <f t="shared" si="5"/>
        <v>1</v>
      </c>
    </row>
    <row r="91" spans="1:21">
      <c r="A91" t="s">
        <v>150</v>
      </c>
      <c r="B91">
        <v>1299</v>
      </c>
      <c r="C91">
        <v>2773</v>
      </c>
      <c r="D91">
        <v>19</v>
      </c>
      <c r="E91">
        <v>170</v>
      </c>
      <c r="F91" s="3" t="s">
        <v>151</v>
      </c>
      <c r="G91">
        <v>170</v>
      </c>
      <c r="H91">
        <v>0.000319</v>
      </c>
      <c r="I91">
        <v>170</v>
      </c>
      <c r="J91" s="3" t="s">
        <v>85</v>
      </c>
      <c r="K91">
        <v>1</v>
      </c>
      <c r="L91">
        <v>1</v>
      </c>
      <c r="M91">
        <v>0.027663</v>
      </c>
      <c r="N91">
        <v>17</v>
      </c>
      <c r="O91">
        <v>0.000277</v>
      </c>
      <c r="P91">
        <v>17</v>
      </c>
      <c r="Q91">
        <v>0.029694</v>
      </c>
      <c r="S91">
        <v>0.011991</v>
      </c>
      <c r="T91">
        <f t="shared" si="4"/>
        <v>1</v>
      </c>
      <c r="U91">
        <f t="shared" si="5"/>
        <v>0</v>
      </c>
    </row>
    <row r="92" spans="1:21">
      <c r="A92" t="s">
        <v>152</v>
      </c>
      <c r="B92">
        <v>11358</v>
      </c>
      <c r="C92">
        <v>47606</v>
      </c>
      <c r="D92">
        <v>50</v>
      </c>
      <c r="E92">
        <v>1225</v>
      </c>
      <c r="F92">
        <v>0.000854</v>
      </c>
      <c r="G92">
        <v>1225</v>
      </c>
      <c r="H92">
        <v>0.005193</v>
      </c>
      <c r="I92">
        <v>1225</v>
      </c>
      <c r="J92" s="3" t="s">
        <v>73</v>
      </c>
      <c r="K92">
        <v>15</v>
      </c>
      <c r="L92">
        <v>15</v>
      </c>
      <c r="M92">
        <v>0.217281</v>
      </c>
      <c r="N92">
        <v>45</v>
      </c>
      <c r="O92" s="2">
        <v>0.002946</v>
      </c>
      <c r="P92">
        <v>45</v>
      </c>
      <c r="Q92">
        <v>0.24519</v>
      </c>
      <c r="S92">
        <v>0.071836</v>
      </c>
      <c r="T92">
        <f t="shared" si="4"/>
        <v>1</v>
      </c>
      <c r="U92">
        <f t="shared" si="5"/>
        <v>0</v>
      </c>
    </row>
    <row r="93" spans="1:21">
      <c r="A93" t="s">
        <v>153</v>
      </c>
      <c r="B93">
        <v>643</v>
      </c>
      <c r="C93">
        <v>2280</v>
      </c>
      <c r="D93">
        <v>115</v>
      </c>
      <c r="E93">
        <v>869</v>
      </c>
      <c r="F93">
        <v>0.000147</v>
      </c>
      <c r="G93">
        <v>223</v>
      </c>
      <c r="H93">
        <v>0.000839</v>
      </c>
      <c r="I93">
        <v>134</v>
      </c>
      <c r="J93">
        <v>0.048009</v>
      </c>
      <c r="K93">
        <v>241</v>
      </c>
      <c r="L93">
        <v>20</v>
      </c>
      <c r="M93">
        <v>0.022076</v>
      </c>
      <c r="N93">
        <v>8</v>
      </c>
      <c r="O93" s="2">
        <v>0.000137</v>
      </c>
      <c r="P93">
        <v>8</v>
      </c>
      <c r="Q93">
        <v>0.081823</v>
      </c>
      <c r="S93">
        <v>0.052342</v>
      </c>
      <c r="T93">
        <f t="shared" si="4"/>
        <v>1</v>
      </c>
      <c r="U93">
        <f t="shared" si="5"/>
        <v>0</v>
      </c>
    </row>
    <row r="94" spans="1:21">
      <c r="A94" t="s">
        <v>154</v>
      </c>
      <c r="B94">
        <v>121422</v>
      </c>
      <c r="C94">
        <v>334419</v>
      </c>
      <c r="D94">
        <v>324</v>
      </c>
      <c r="E94">
        <v>12980</v>
      </c>
      <c r="F94">
        <v>0.006991</v>
      </c>
      <c r="G94">
        <v>12980</v>
      </c>
      <c r="H94">
        <v>0.066603</v>
      </c>
      <c r="I94">
        <v>12980</v>
      </c>
      <c r="J94">
        <v>5.36806</v>
      </c>
      <c r="K94">
        <v>7033</v>
      </c>
      <c r="L94">
        <v>0</v>
      </c>
      <c r="M94">
        <v>-1</v>
      </c>
      <c r="N94">
        <v>71</v>
      </c>
      <c r="O94">
        <v>0.031799</v>
      </c>
      <c r="P94">
        <v>73</v>
      </c>
      <c r="Q94">
        <v>600</v>
      </c>
      <c r="S94">
        <v>64.5745</v>
      </c>
      <c r="T94">
        <f t="shared" si="4"/>
        <v>1</v>
      </c>
      <c r="U94">
        <f t="shared" si="5"/>
        <v>0</v>
      </c>
    </row>
    <row r="95" spans="1:21">
      <c r="A95" t="s">
        <v>155</v>
      </c>
      <c r="B95">
        <v>4767</v>
      </c>
      <c r="C95">
        <v>37375</v>
      </c>
      <c r="D95">
        <v>1249</v>
      </c>
      <c r="E95">
        <v>23323</v>
      </c>
      <c r="F95">
        <v>0.003733</v>
      </c>
      <c r="G95">
        <v>6347</v>
      </c>
      <c r="H95">
        <v>0.061308</v>
      </c>
      <c r="I95">
        <v>5957</v>
      </c>
      <c r="J95">
        <v>0.277178</v>
      </c>
      <c r="K95">
        <v>1078</v>
      </c>
      <c r="L95">
        <v>141</v>
      </c>
      <c r="M95">
        <v>0.664276</v>
      </c>
      <c r="N95">
        <v>13</v>
      </c>
      <c r="O95">
        <v>0.00308</v>
      </c>
      <c r="P95">
        <v>17</v>
      </c>
      <c r="Q95">
        <v>1.02436</v>
      </c>
      <c r="S95">
        <v>0.310907</v>
      </c>
      <c r="T95">
        <f t="shared" si="4"/>
        <v>1</v>
      </c>
      <c r="U95">
        <f t="shared" si="5"/>
        <v>0</v>
      </c>
    </row>
    <row r="96" spans="1:21">
      <c r="A96" t="s">
        <v>156</v>
      </c>
      <c r="B96">
        <v>16062</v>
      </c>
      <c r="C96">
        <v>25593</v>
      </c>
      <c r="D96">
        <v>33</v>
      </c>
      <c r="E96">
        <v>528</v>
      </c>
      <c r="F96">
        <v>0.00052</v>
      </c>
      <c r="G96">
        <v>528</v>
      </c>
      <c r="H96">
        <v>0.000988</v>
      </c>
      <c r="I96">
        <v>528</v>
      </c>
      <c r="J96" s="3" t="s">
        <v>59</v>
      </c>
      <c r="K96">
        <v>14</v>
      </c>
      <c r="L96">
        <v>14</v>
      </c>
      <c r="M96">
        <v>0.047063</v>
      </c>
      <c r="N96">
        <v>30</v>
      </c>
      <c r="O96" s="2">
        <v>0.001478</v>
      </c>
      <c r="P96">
        <v>30</v>
      </c>
      <c r="Q96">
        <v>0.056987</v>
      </c>
      <c r="S96">
        <v>0.021782</v>
      </c>
      <c r="T96">
        <f t="shared" si="4"/>
        <v>1</v>
      </c>
      <c r="U96">
        <f t="shared" si="5"/>
        <v>0</v>
      </c>
    </row>
    <row r="97" spans="17:21">
      <c r="Q97">
        <f>COUNT(Q2:Q96)-COUNTIF(Q2:Q96,"=600")</f>
        <v>76</v>
      </c>
      <c r="S97">
        <f>COUNT(S2:S96)-COUNTIF(S2:S96,"=600")</f>
        <v>77</v>
      </c>
      <c r="T97">
        <f>COUNTIF(T2:T96,"=1")</f>
        <v>66</v>
      </c>
      <c r="U97">
        <f>COUNTIF(U2:U96,"=1")</f>
        <v>11</v>
      </c>
    </row>
  </sheetData>
  <sortState ref="A2:Q96">
    <sortCondition ref="A1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70" workbookViewId="0">
      <selection activeCell="U70" sqref="U$1:U$104857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19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111</v>
      </c>
      <c r="E2">
        <v>759</v>
      </c>
      <c r="F2">
        <v>0.000139</v>
      </c>
      <c r="G2">
        <v>254</v>
      </c>
      <c r="H2">
        <v>0.000705</v>
      </c>
      <c r="I2">
        <v>214</v>
      </c>
      <c r="J2">
        <v>0.069968</v>
      </c>
      <c r="K2">
        <v>426</v>
      </c>
      <c r="L2">
        <v>43</v>
      </c>
      <c r="M2">
        <v>0.007902</v>
      </c>
      <c r="N2">
        <v>7</v>
      </c>
      <c r="O2">
        <v>0.000122</v>
      </c>
      <c r="P2">
        <v>8</v>
      </c>
      <c r="Q2">
        <v>0.095912</v>
      </c>
      <c r="S2">
        <v>0.074479</v>
      </c>
      <c r="T2">
        <f t="shared" ref="T2:T65" si="0">IF(S2&lt;Q2,1,0)</f>
        <v>1</v>
      </c>
      <c r="U2">
        <f t="shared" ref="U2:U65" si="1">IF(Q2&lt;S2,1,0)</f>
        <v>0</v>
      </c>
    </row>
    <row r="3" spans="1:23">
      <c r="A3" t="s">
        <v>18</v>
      </c>
      <c r="B3">
        <v>516</v>
      </c>
      <c r="C3">
        <v>1188</v>
      </c>
      <c r="D3">
        <v>11</v>
      </c>
      <c r="E3">
        <v>55</v>
      </c>
      <c r="F3">
        <v>0.000105</v>
      </c>
      <c r="G3">
        <v>55</v>
      </c>
      <c r="H3">
        <v>0.000104</v>
      </c>
      <c r="I3">
        <v>55</v>
      </c>
      <c r="J3" s="3" t="s">
        <v>72</v>
      </c>
      <c r="K3">
        <v>1</v>
      </c>
      <c r="L3">
        <v>1</v>
      </c>
      <c r="M3">
        <v>0.025119</v>
      </c>
      <c r="N3">
        <v>10</v>
      </c>
      <c r="O3">
        <v>0.000306</v>
      </c>
      <c r="P3">
        <v>10</v>
      </c>
      <c r="Q3">
        <v>0.027191</v>
      </c>
      <c r="S3">
        <v>0.007653</v>
      </c>
      <c r="T3">
        <f t="shared" si="0"/>
        <v>1</v>
      </c>
      <c r="U3">
        <f t="shared" si="1"/>
        <v>0</v>
      </c>
    </row>
    <row r="4" spans="1:23">
      <c r="A4" t="s">
        <v>22</v>
      </c>
      <c r="B4">
        <v>7393</v>
      </c>
      <c r="C4">
        <v>25569</v>
      </c>
      <c r="D4">
        <v>3073</v>
      </c>
      <c r="E4">
        <v>18419</v>
      </c>
      <c r="F4">
        <v>0.003719</v>
      </c>
      <c r="G4">
        <v>543</v>
      </c>
      <c r="H4">
        <v>0.010428</v>
      </c>
      <c r="I4">
        <v>175</v>
      </c>
      <c r="J4">
        <v>0.12457</v>
      </c>
      <c r="K4">
        <v>719</v>
      </c>
      <c r="L4">
        <v>92</v>
      </c>
      <c r="M4">
        <v>0.039292</v>
      </c>
      <c r="N4">
        <v>4</v>
      </c>
      <c r="O4" s="2">
        <v>0.002032</v>
      </c>
      <c r="P4">
        <v>4</v>
      </c>
      <c r="Q4">
        <v>0.18901</v>
      </c>
      <c r="S4">
        <v>0.087399</v>
      </c>
      <c r="T4">
        <f t="shared" si="0"/>
        <v>1</v>
      </c>
      <c r="U4">
        <f t="shared" si="1"/>
        <v>0</v>
      </c>
    </row>
    <row r="5" spans="1:23">
      <c r="A5" t="s">
        <v>23</v>
      </c>
      <c r="B5">
        <v>1458</v>
      </c>
      <c r="C5">
        <v>1948</v>
      </c>
      <c r="D5">
        <v>6</v>
      </c>
      <c r="E5">
        <v>15</v>
      </c>
      <c r="F5" s="3" t="s">
        <v>24</v>
      </c>
      <c r="G5">
        <v>15</v>
      </c>
      <c r="H5" s="3" t="s">
        <v>25</v>
      </c>
      <c r="I5">
        <v>15</v>
      </c>
      <c r="J5">
        <v>0</v>
      </c>
      <c r="K5">
        <v>1</v>
      </c>
      <c r="L5">
        <v>1</v>
      </c>
      <c r="M5">
        <v>0.010152</v>
      </c>
      <c r="N5">
        <v>5</v>
      </c>
      <c r="O5">
        <v>0.000136</v>
      </c>
      <c r="P5">
        <v>5</v>
      </c>
      <c r="Q5">
        <v>0.010917</v>
      </c>
      <c r="S5">
        <v>0.014516</v>
      </c>
      <c r="T5">
        <f t="shared" si="0"/>
        <v>0</v>
      </c>
      <c r="U5">
        <f t="shared" si="1"/>
        <v>1</v>
      </c>
    </row>
    <row r="6" spans="1:23">
      <c r="A6" t="s">
        <v>26</v>
      </c>
      <c r="B6">
        <v>17903</v>
      </c>
      <c r="C6">
        <v>196972</v>
      </c>
      <c r="D6">
        <v>1324</v>
      </c>
      <c r="E6">
        <v>38659</v>
      </c>
      <c r="F6">
        <v>0.01356</v>
      </c>
      <c r="G6">
        <v>28263</v>
      </c>
      <c r="H6">
        <v>0.251764</v>
      </c>
      <c r="I6">
        <v>28261</v>
      </c>
      <c r="J6">
        <v>1.34891</v>
      </c>
      <c r="K6">
        <v>13027</v>
      </c>
      <c r="L6">
        <v>0</v>
      </c>
      <c r="M6">
        <v>-1</v>
      </c>
      <c r="N6">
        <v>38</v>
      </c>
      <c r="O6" s="2">
        <v>0.03159</v>
      </c>
      <c r="P6">
        <v>42</v>
      </c>
      <c r="Q6">
        <v>600</v>
      </c>
      <c r="S6">
        <v>600</v>
      </c>
      <c r="T6">
        <f t="shared" si="0"/>
        <v>0</v>
      </c>
      <c r="U6">
        <f t="shared" si="1"/>
        <v>0</v>
      </c>
    </row>
    <row r="7" spans="1:23">
      <c r="A7" t="s">
        <v>27</v>
      </c>
      <c r="B7">
        <v>227320</v>
      </c>
      <c r="C7">
        <v>814134</v>
      </c>
      <c r="D7">
        <v>1829</v>
      </c>
      <c r="E7">
        <v>49560</v>
      </c>
      <c r="F7">
        <v>0.019664</v>
      </c>
      <c r="G7">
        <v>49298</v>
      </c>
      <c r="H7">
        <v>0.170275</v>
      </c>
      <c r="I7">
        <v>49298</v>
      </c>
      <c r="J7">
        <v>2.72768</v>
      </c>
      <c r="K7">
        <v>3157</v>
      </c>
      <c r="L7">
        <v>0</v>
      </c>
      <c r="M7">
        <v>-1</v>
      </c>
      <c r="N7">
        <v>37</v>
      </c>
      <c r="O7">
        <v>0.110014</v>
      </c>
      <c r="P7">
        <v>66</v>
      </c>
      <c r="Q7">
        <v>600</v>
      </c>
      <c r="S7">
        <v>600</v>
      </c>
      <c r="T7">
        <f t="shared" si="0"/>
        <v>0</v>
      </c>
      <c r="U7">
        <f t="shared" si="1"/>
        <v>0</v>
      </c>
    </row>
    <row r="8" spans="1:23">
      <c r="A8" t="s">
        <v>28</v>
      </c>
      <c r="B8">
        <v>21363</v>
      </c>
      <c r="C8">
        <v>91286</v>
      </c>
      <c r="D8">
        <v>609</v>
      </c>
      <c r="E8">
        <v>6577</v>
      </c>
      <c r="F8">
        <v>0.002559</v>
      </c>
      <c r="G8">
        <v>3508</v>
      </c>
      <c r="H8">
        <v>0.00966</v>
      </c>
      <c r="I8">
        <v>3502</v>
      </c>
      <c r="J8">
        <v>0.259177</v>
      </c>
      <c r="K8">
        <v>8702</v>
      </c>
      <c r="L8">
        <v>1096</v>
      </c>
      <c r="M8">
        <v>6.63344</v>
      </c>
      <c r="N8">
        <v>14</v>
      </c>
      <c r="O8" s="2">
        <v>0.007509</v>
      </c>
      <c r="P8">
        <v>15</v>
      </c>
      <c r="Q8">
        <v>6.93875</v>
      </c>
      <c r="S8">
        <v>6.72469</v>
      </c>
      <c r="T8">
        <f t="shared" si="0"/>
        <v>1</v>
      </c>
      <c r="U8">
        <f t="shared" si="1"/>
        <v>0</v>
      </c>
    </row>
    <row r="9" spans="1:23">
      <c r="A9" t="s">
        <v>29</v>
      </c>
      <c r="B9">
        <v>1882</v>
      </c>
      <c r="C9">
        <v>1740</v>
      </c>
      <c r="D9">
        <v>23</v>
      </c>
      <c r="E9">
        <v>14</v>
      </c>
      <c r="F9" s="3" t="s">
        <v>157</v>
      </c>
      <c r="G9">
        <v>0</v>
      </c>
      <c r="H9" s="3" t="s">
        <v>31</v>
      </c>
      <c r="I9">
        <v>0</v>
      </c>
      <c r="J9">
        <v>0</v>
      </c>
      <c r="K9">
        <v>0</v>
      </c>
      <c r="L9">
        <v>0</v>
      </c>
      <c r="M9">
        <v>0.002384</v>
      </c>
      <c r="N9">
        <v>3</v>
      </c>
      <c r="O9" s="2">
        <v>0.000139</v>
      </c>
      <c r="P9">
        <v>3</v>
      </c>
      <c r="Q9">
        <v>0.003672</v>
      </c>
      <c r="S9">
        <v>0.004031</v>
      </c>
      <c r="T9">
        <f t="shared" si="0"/>
        <v>0</v>
      </c>
      <c r="U9">
        <f t="shared" si="1"/>
        <v>1</v>
      </c>
    </row>
    <row r="10" spans="1:23">
      <c r="A10" t="s">
        <v>32</v>
      </c>
      <c r="B10">
        <v>226413</v>
      </c>
      <c r="C10">
        <v>716460</v>
      </c>
      <c r="D10">
        <v>1424</v>
      </c>
      <c r="E10">
        <v>32461</v>
      </c>
      <c r="F10">
        <v>0.02497</v>
      </c>
      <c r="G10">
        <v>32011</v>
      </c>
      <c r="H10">
        <v>0.110599</v>
      </c>
      <c r="I10">
        <v>32011</v>
      </c>
      <c r="J10">
        <v>2.29302</v>
      </c>
      <c r="K10">
        <v>7236</v>
      </c>
      <c r="L10">
        <v>0</v>
      </c>
      <c r="M10">
        <v>-1</v>
      </c>
      <c r="N10">
        <v>30</v>
      </c>
      <c r="O10">
        <v>0.126479</v>
      </c>
      <c r="P10">
        <v>53</v>
      </c>
      <c r="Q10">
        <v>600</v>
      </c>
      <c r="S10">
        <v>600</v>
      </c>
      <c r="T10">
        <f t="shared" si="0"/>
        <v>0</v>
      </c>
      <c r="U10">
        <f t="shared" si="1"/>
        <v>0</v>
      </c>
    </row>
    <row r="11" spans="1:23">
      <c r="A11" t="s">
        <v>33</v>
      </c>
      <c r="B11">
        <v>5094</v>
      </c>
      <c r="C11">
        <v>7515</v>
      </c>
      <c r="D11">
        <v>252</v>
      </c>
      <c r="E11">
        <v>1006</v>
      </c>
      <c r="F11">
        <v>0.000293</v>
      </c>
      <c r="G11">
        <v>131</v>
      </c>
      <c r="H11">
        <v>0.000554</v>
      </c>
      <c r="I11">
        <v>97</v>
      </c>
      <c r="J11">
        <v>0.058518</v>
      </c>
      <c r="K11">
        <v>395</v>
      </c>
      <c r="L11">
        <v>34</v>
      </c>
      <c r="M11">
        <v>0.014813</v>
      </c>
      <c r="N11">
        <v>5</v>
      </c>
      <c r="O11" s="2">
        <v>0.000426</v>
      </c>
      <c r="P11">
        <v>5</v>
      </c>
      <c r="Q11">
        <v>0.076728</v>
      </c>
      <c r="S11">
        <v>0.048373</v>
      </c>
      <c r="T11">
        <f t="shared" si="0"/>
        <v>1</v>
      </c>
      <c r="U11">
        <f t="shared" si="1"/>
        <v>0</v>
      </c>
    </row>
    <row r="12" spans="1:23">
      <c r="A12" t="s">
        <v>34</v>
      </c>
      <c r="B12">
        <v>4158</v>
      </c>
      <c r="C12">
        <v>13422</v>
      </c>
      <c r="D12">
        <v>46</v>
      </c>
      <c r="E12">
        <v>1030</v>
      </c>
      <c r="F12">
        <v>0.000272</v>
      </c>
      <c r="G12">
        <v>1030</v>
      </c>
      <c r="H12">
        <v>0.002688</v>
      </c>
      <c r="I12">
        <v>1030</v>
      </c>
      <c r="J12">
        <v>0.008805</v>
      </c>
      <c r="K12">
        <v>1109</v>
      </c>
      <c r="L12">
        <v>1056</v>
      </c>
      <c r="M12">
        <v>26.3864</v>
      </c>
      <c r="N12">
        <v>37</v>
      </c>
      <c r="O12">
        <v>0.001012</v>
      </c>
      <c r="P12">
        <v>37</v>
      </c>
      <c r="Q12">
        <v>26.4095</v>
      </c>
      <c r="S12">
        <v>0.107403</v>
      </c>
      <c r="T12">
        <f t="shared" si="0"/>
        <v>1</v>
      </c>
      <c r="U12">
        <f t="shared" si="1"/>
        <v>0</v>
      </c>
    </row>
    <row r="13" spans="1:23">
      <c r="A13" t="s">
        <v>35</v>
      </c>
      <c r="B13">
        <v>11204</v>
      </c>
      <c r="C13">
        <v>117619</v>
      </c>
      <c r="D13">
        <v>239</v>
      </c>
      <c r="E13">
        <v>28441</v>
      </c>
      <c r="F13">
        <v>0.00522</v>
      </c>
      <c r="G13">
        <v>28441</v>
      </c>
      <c r="H13">
        <v>0.460444</v>
      </c>
      <c r="I13">
        <v>28441</v>
      </c>
      <c r="J13">
        <v>0.000579</v>
      </c>
      <c r="K13">
        <v>411</v>
      </c>
      <c r="L13">
        <v>0</v>
      </c>
      <c r="M13">
        <v>-1</v>
      </c>
      <c r="N13">
        <v>180</v>
      </c>
      <c r="O13" s="2">
        <v>0.024068</v>
      </c>
      <c r="P13">
        <v>193</v>
      </c>
      <c r="Q13">
        <v>600</v>
      </c>
      <c r="S13">
        <v>600</v>
      </c>
      <c r="T13">
        <f t="shared" si="0"/>
        <v>0</v>
      </c>
      <c r="U13">
        <f t="shared" si="1"/>
        <v>0</v>
      </c>
    </row>
    <row r="14" spans="1:23">
      <c r="A14" t="s">
        <v>36</v>
      </c>
      <c r="B14">
        <v>332689</v>
      </c>
      <c r="C14">
        <v>820644</v>
      </c>
      <c r="D14">
        <v>3825</v>
      </c>
      <c r="E14">
        <v>32392</v>
      </c>
      <c r="F14">
        <v>0.03911</v>
      </c>
      <c r="G14">
        <v>11461</v>
      </c>
      <c r="H14">
        <v>0.034914</v>
      </c>
      <c r="I14">
        <v>11416</v>
      </c>
      <c r="J14">
        <v>0.211725</v>
      </c>
      <c r="K14">
        <v>12037</v>
      </c>
      <c r="L14">
        <v>0</v>
      </c>
      <c r="M14">
        <v>-1</v>
      </c>
      <c r="N14">
        <v>10</v>
      </c>
      <c r="O14">
        <v>0.186889</v>
      </c>
      <c r="P14">
        <v>11</v>
      </c>
      <c r="Q14">
        <v>600</v>
      </c>
      <c r="S14">
        <v>600</v>
      </c>
      <c r="T14">
        <f t="shared" si="0"/>
        <v>0</v>
      </c>
      <c r="U14">
        <f t="shared" si="1"/>
        <v>0</v>
      </c>
    </row>
    <row r="15" spans="1:23">
      <c r="A15" t="s">
        <v>37</v>
      </c>
      <c r="B15">
        <v>379</v>
      </c>
      <c r="C15">
        <v>914</v>
      </c>
      <c r="D15">
        <v>9</v>
      </c>
      <c r="E15">
        <v>36</v>
      </c>
      <c r="F15" s="3" t="s">
        <v>39</v>
      </c>
      <c r="G15">
        <v>36</v>
      </c>
      <c r="H15" s="3" t="s">
        <v>158</v>
      </c>
      <c r="I15">
        <v>36</v>
      </c>
      <c r="J15" s="3" t="s">
        <v>40</v>
      </c>
      <c r="K15">
        <v>1</v>
      </c>
      <c r="L15">
        <v>1</v>
      </c>
      <c r="M15">
        <v>0.017264</v>
      </c>
      <c r="N15">
        <v>8</v>
      </c>
      <c r="O15" s="3" t="s">
        <v>159</v>
      </c>
      <c r="P15">
        <v>8</v>
      </c>
      <c r="Q15">
        <v>0.037375</v>
      </c>
      <c r="S15">
        <v>0.013561</v>
      </c>
      <c r="T15">
        <f t="shared" si="0"/>
        <v>1</v>
      </c>
      <c r="U15">
        <f t="shared" si="1"/>
        <v>0</v>
      </c>
    </row>
    <row r="16" spans="1:23">
      <c r="A16" t="s">
        <v>42</v>
      </c>
      <c r="B16">
        <v>32430</v>
      </c>
      <c r="C16">
        <v>54397</v>
      </c>
      <c r="D16">
        <v>1245</v>
      </c>
      <c r="E16">
        <v>14464</v>
      </c>
      <c r="F16">
        <v>0.002991</v>
      </c>
      <c r="G16">
        <v>8128</v>
      </c>
      <c r="H16">
        <v>0.024156</v>
      </c>
      <c r="I16">
        <v>7875</v>
      </c>
      <c r="J16">
        <v>0.168653</v>
      </c>
      <c r="K16">
        <v>2372</v>
      </c>
      <c r="L16">
        <v>843</v>
      </c>
      <c r="M16">
        <v>13.4892</v>
      </c>
      <c r="N16">
        <v>6</v>
      </c>
      <c r="O16" s="2">
        <v>0.002938</v>
      </c>
      <c r="P16">
        <v>8</v>
      </c>
      <c r="Q16">
        <v>13.7042</v>
      </c>
      <c r="S16">
        <v>16.6853</v>
      </c>
      <c r="T16">
        <f t="shared" si="0"/>
        <v>0</v>
      </c>
      <c r="U16">
        <f t="shared" si="1"/>
        <v>1</v>
      </c>
    </row>
    <row r="17" spans="1:21">
      <c r="A17" t="s">
        <v>43</v>
      </c>
      <c r="B17">
        <v>1133</v>
      </c>
      <c r="C17">
        <v>5451</v>
      </c>
      <c r="D17">
        <v>468</v>
      </c>
      <c r="E17">
        <v>3420</v>
      </c>
      <c r="F17">
        <v>0.000523</v>
      </c>
      <c r="G17">
        <v>445</v>
      </c>
      <c r="H17">
        <v>0.002573</v>
      </c>
      <c r="I17">
        <v>166</v>
      </c>
      <c r="J17">
        <v>0.085445</v>
      </c>
      <c r="K17">
        <v>845</v>
      </c>
      <c r="L17">
        <v>25</v>
      </c>
      <c r="M17">
        <v>0.011947</v>
      </c>
      <c r="N17">
        <v>7</v>
      </c>
      <c r="O17">
        <v>0.000359</v>
      </c>
      <c r="P17">
        <v>9</v>
      </c>
      <c r="Q17">
        <v>0.103384</v>
      </c>
      <c r="S17">
        <v>0.073993</v>
      </c>
      <c r="T17">
        <f t="shared" si="0"/>
        <v>1</v>
      </c>
      <c r="U17">
        <f t="shared" si="1"/>
        <v>0</v>
      </c>
    </row>
    <row r="18" spans="1:21">
      <c r="A18" t="s">
        <v>44</v>
      </c>
      <c r="B18">
        <v>33696</v>
      </c>
      <c r="C18">
        <v>180811</v>
      </c>
      <c r="D18">
        <v>5329</v>
      </c>
      <c r="E18">
        <v>104930</v>
      </c>
      <c r="F18">
        <v>0.025494</v>
      </c>
      <c r="G18">
        <v>70285</v>
      </c>
      <c r="H18">
        <v>0.388267</v>
      </c>
      <c r="I18">
        <v>70000</v>
      </c>
      <c r="J18">
        <v>0.301751</v>
      </c>
      <c r="K18">
        <v>2375</v>
      </c>
      <c r="L18">
        <v>0</v>
      </c>
      <c r="M18">
        <v>-1</v>
      </c>
      <c r="N18">
        <v>9</v>
      </c>
      <c r="O18">
        <v>0.024241</v>
      </c>
      <c r="P18">
        <v>15</v>
      </c>
      <c r="Q18">
        <v>600</v>
      </c>
      <c r="S18">
        <v>600</v>
      </c>
      <c r="T18">
        <f t="shared" si="0"/>
        <v>0</v>
      </c>
      <c r="U18">
        <f t="shared" si="1"/>
        <v>0</v>
      </c>
    </row>
    <row r="19" spans="1:21">
      <c r="A19" t="s">
        <v>45</v>
      </c>
      <c r="B19">
        <v>143</v>
      </c>
      <c r="C19">
        <v>623</v>
      </c>
      <c r="D19">
        <v>80</v>
      </c>
      <c r="E19">
        <v>442</v>
      </c>
      <c r="F19" s="3" t="s">
        <v>46</v>
      </c>
      <c r="G19">
        <v>139</v>
      </c>
      <c r="H19">
        <v>0.000348</v>
      </c>
      <c r="I19">
        <v>107</v>
      </c>
      <c r="J19">
        <v>0.120435</v>
      </c>
      <c r="K19">
        <v>222</v>
      </c>
      <c r="L19">
        <v>27</v>
      </c>
      <c r="M19">
        <v>0.013157</v>
      </c>
      <c r="N19">
        <v>6</v>
      </c>
      <c r="O19" s="3" t="s">
        <v>47</v>
      </c>
      <c r="P19">
        <v>7</v>
      </c>
      <c r="Q19">
        <v>0.141017</v>
      </c>
      <c r="S19">
        <v>0.02798</v>
      </c>
      <c r="T19">
        <f t="shared" si="0"/>
        <v>1</v>
      </c>
      <c r="U19">
        <f t="shared" si="1"/>
        <v>0</v>
      </c>
    </row>
    <row r="20" spans="1:21">
      <c r="A20" t="s">
        <v>48</v>
      </c>
      <c r="B20">
        <v>1266</v>
      </c>
      <c r="C20">
        <v>6451</v>
      </c>
      <c r="D20">
        <v>761</v>
      </c>
      <c r="E20">
        <v>5580</v>
      </c>
      <c r="F20">
        <v>0.000854</v>
      </c>
      <c r="G20">
        <v>689</v>
      </c>
      <c r="H20">
        <v>0.004043</v>
      </c>
      <c r="I20">
        <v>141</v>
      </c>
      <c r="J20">
        <v>0.03299</v>
      </c>
      <c r="K20">
        <v>105</v>
      </c>
      <c r="L20">
        <v>8</v>
      </c>
      <c r="M20">
        <v>0.005728</v>
      </c>
      <c r="N20">
        <v>4</v>
      </c>
      <c r="O20">
        <v>0.000429</v>
      </c>
      <c r="P20">
        <v>5</v>
      </c>
      <c r="Q20">
        <v>0.046629</v>
      </c>
      <c r="S20">
        <v>0.03735</v>
      </c>
      <c r="T20">
        <f t="shared" si="0"/>
        <v>1</v>
      </c>
      <c r="U20">
        <f t="shared" si="1"/>
        <v>0</v>
      </c>
    </row>
    <row r="21" spans="1:21">
      <c r="A21" t="s">
        <v>49</v>
      </c>
      <c r="B21">
        <v>410</v>
      </c>
      <c r="C21">
        <v>2765</v>
      </c>
      <c r="D21">
        <v>50</v>
      </c>
      <c r="E21">
        <v>504</v>
      </c>
      <c r="F21">
        <v>0.000116</v>
      </c>
      <c r="G21">
        <v>165</v>
      </c>
      <c r="H21">
        <v>0.000825</v>
      </c>
      <c r="I21">
        <v>156</v>
      </c>
      <c r="J21">
        <v>0.196097</v>
      </c>
      <c r="K21">
        <v>304</v>
      </c>
      <c r="L21">
        <v>6</v>
      </c>
      <c r="M21">
        <v>0.02091</v>
      </c>
      <c r="N21">
        <v>14</v>
      </c>
      <c r="O21">
        <v>0.000253</v>
      </c>
      <c r="P21">
        <v>14</v>
      </c>
      <c r="Q21">
        <v>0.23654</v>
      </c>
      <c r="S21">
        <v>0.054568</v>
      </c>
      <c r="T21">
        <f t="shared" si="0"/>
        <v>1</v>
      </c>
      <c r="U21">
        <f t="shared" si="1"/>
        <v>0</v>
      </c>
    </row>
    <row r="22" spans="1:21">
      <c r="A22" t="s">
        <v>51</v>
      </c>
      <c r="B22">
        <v>113</v>
      </c>
      <c r="C22">
        <v>2196</v>
      </c>
      <c r="D22">
        <v>110</v>
      </c>
      <c r="E22">
        <v>2173</v>
      </c>
      <c r="F22">
        <v>0.0003</v>
      </c>
      <c r="G22">
        <v>1688</v>
      </c>
      <c r="H22">
        <v>0.006226</v>
      </c>
      <c r="I22">
        <v>1520</v>
      </c>
      <c r="J22">
        <v>0.686071</v>
      </c>
      <c r="K22">
        <v>894</v>
      </c>
      <c r="L22">
        <v>266</v>
      </c>
      <c r="M22">
        <v>0.037676</v>
      </c>
      <c r="N22">
        <v>12</v>
      </c>
      <c r="O22">
        <v>0.000222</v>
      </c>
      <c r="P22">
        <v>13</v>
      </c>
      <c r="Q22">
        <v>0.737617</v>
      </c>
      <c r="S22">
        <v>0.207207</v>
      </c>
      <c r="T22">
        <f t="shared" si="0"/>
        <v>1</v>
      </c>
      <c r="U22">
        <f t="shared" si="1"/>
        <v>0</v>
      </c>
    </row>
    <row r="23" spans="1:21">
      <c r="A23" t="s">
        <v>52</v>
      </c>
      <c r="B23">
        <v>6809</v>
      </c>
      <c r="C23">
        <v>7680</v>
      </c>
      <c r="D23">
        <v>139</v>
      </c>
      <c r="E23">
        <v>553</v>
      </c>
      <c r="F23">
        <v>0.000163</v>
      </c>
      <c r="G23">
        <v>71</v>
      </c>
      <c r="H23">
        <v>0.000229</v>
      </c>
      <c r="I23">
        <v>26</v>
      </c>
      <c r="J23">
        <v>0.015849</v>
      </c>
      <c r="K23">
        <v>53</v>
      </c>
      <c r="L23">
        <v>5</v>
      </c>
      <c r="M23">
        <v>0.022164</v>
      </c>
      <c r="N23">
        <v>4</v>
      </c>
      <c r="O23" s="2">
        <v>0.000285</v>
      </c>
      <c r="P23">
        <v>4</v>
      </c>
      <c r="Q23">
        <v>0.045952</v>
      </c>
      <c r="S23">
        <v>0.017662</v>
      </c>
      <c r="T23">
        <f t="shared" si="0"/>
        <v>1</v>
      </c>
      <c r="U23">
        <f t="shared" si="1"/>
        <v>0</v>
      </c>
    </row>
    <row r="24" spans="1:21">
      <c r="A24" t="s">
        <v>53</v>
      </c>
      <c r="B24">
        <v>92117</v>
      </c>
      <c r="C24">
        <v>360767</v>
      </c>
      <c r="D24">
        <v>16279</v>
      </c>
      <c r="E24">
        <v>251033</v>
      </c>
      <c r="F24">
        <v>0.053328</v>
      </c>
      <c r="G24">
        <v>119974</v>
      </c>
      <c r="H24">
        <v>0.870084</v>
      </c>
      <c r="I24">
        <v>119741</v>
      </c>
      <c r="J24">
        <v>0.226136</v>
      </c>
      <c r="K24">
        <v>1490</v>
      </c>
      <c r="L24">
        <v>0</v>
      </c>
      <c r="M24">
        <v>-1</v>
      </c>
      <c r="N24">
        <v>5</v>
      </c>
      <c r="O24">
        <v>0.046944</v>
      </c>
      <c r="P24">
        <v>13</v>
      </c>
      <c r="Q24">
        <v>600</v>
      </c>
      <c r="S24">
        <v>600</v>
      </c>
      <c r="T24">
        <f t="shared" si="0"/>
        <v>0</v>
      </c>
      <c r="U24">
        <f t="shared" si="1"/>
        <v>0</v>
      </c>
    </row>
    <row r="25" spans="1:21">
      <c r="A25" t="s">
        <v>54</v>
      </c>
      <c r="B25">
        <v>4941</v>
      </c>
      <c r="C25">
        <v>6594</v>
      </c>
      <c r="D25">
        <v>24</v>
      </c>
      <c r="E25">
        <v>72</v>
      </c>
      <c r="F25">
        <v>0.000158</v>
      </c>
      <c r="G25">
        <v>30</v>
      </c>
      <c r="H25" s="3" t="s">
        <v>160</v>
      </c>
      <c r="I25">
        <v>30</v>
      </c>
      <c r="J25">
        <v>0.010276</v>
      </c>
      <c r="K25">
        <v>33</v>
      </c>
      <c r="L25">
        <v>2</v>
      </c>
      <c r="M25">
        <v>0.006759</v>
      </c>
      <c r="N25">
        <v>5</v>
      </c>
      <c r="O25" s="2">
        <v>0.000477</v>
      </c>
      <c r="P25">
        <v>5</v>
      </c>
      <c r="Q25">
        <v>0.019324</v>
      </c>
      <c r="S25">
        <v>0.032454</v>
      </c>
      <c r="T25">
        <f t="shared" si="0"/>
        <v>0</v>
      </c>
      <c r="U25">
        <f t="shared" si="1"/>
        <v>1</v>
      </c>
    </row>
    <row r="26" spans="1:21">
      <c r="A26" t="s">
        <v>56</v>
      </c>
      <c r="B26">
        <v>91813</v>
      </c>
      <c r="C26">
        <v>125704</v>
      </c>
      <c r="D26">
        <v>114</v>
      </c>
      <c r="E26">
        <v>136</v>
      </c>
      <c r="F26">
        <v>0.004811</v>
      </c>
      <c r="G26">
        <v>0</v>
      </c>
      <c r="H26" s="3" t="s">
        <v>161</v>
      </c>
      <c r="I26">
        <v>0</v>
      </c>
      <c r="J26" s="3" t="s">
        <v>21</v>
      </c>
      <c r="K26">
        <v>0</v>
      </c>
      <c r="L26">
        <v>0</v>
      </c>
      <c r="M26">
        <v>0.001482</v>
      </c>
      <c r="N26">
        <v>5</v>
      </c>
      <c r="O26">
        <v>0.016764</v>
      </c>
      <c r="P26">
        <v>5</v>
      </c>
      <c r="Q26">
        <v>0.070854</v>
      </c>
      <c r="S26">
        <v>0.049504</v>
      </c>
      <c r="T26">
        <f t="shared" si="0"/>
        <v>1</v>
      </c>
      <c r="U26">
        <f t="shared" si="1"/>
        <v>0</v>
      </c>
    </row>
    <row r="27" spans="1:21">
      <c r="A27" t="s">
        <v>58</v>
      </c>
      <c r="B27">
        <v>96</v>
      </c>
      <c r="C27">
        <v>117</v>
      </c>
      <c r="D27">
        <v>16</v>
      </c>
      <c r="E27">
        <v>26</v>
      </c>
      <c r="F27" s="3" t="s">
        <v>102</v>
      </c>
      <c r="G27">
        <v>6</v>
      </c>
      <c r="H27" s="3" t="s">
        <v>162</v>
      </c>
      <c r="I27">
        <v>6</v>
      </c>
      <c r="J27">
        <v>0.01557</v>
      </c>
      <c r="K27">
        <v>13</v>
      </c>
      <c r="L27">
        <v>1</v>
      </c>
      <c r="M27">
        <v>0.014085</v>
      </c>
      <c r="N27">
        <v>3</v>
      </c>
      <c r="O27" s="2">
        <v>2.6e-5</v>
      </c>
      <c r="P27">
        <v>3</v>
      </c>
      <c r="Q27">
        <v>0.037919</v>
      </c>
      <c r="S27">
        <v>0.023712</v>
      </c>
      <c r="T27">
        <f t="shared" si="0"/>
        <v>1</v>
      </c>
      <c r="U27">
        <f t="shared" si="1"/>
        <v>0</v>
      </c>
    </row>
    <row r="28" spans="1:21">
      <c r="A28" t="s">
        <v>61</v>
      </c>
      <c r="B28">
        <v>761</v>
      </c>
      <c r="C28">
        <v>1029</v>
      </c>
      <c r="D28">
        <v>51</v>
      </c>
      <c r="E28">
        <v>139</v>
      </c>
      <c r="F28" s="3" t="s">
        <v>163</v>
      </c>
      <c r="G28">
        <v>13</v>
      </c>
      <c r="H28" s="3" t="s">
        <v>113</v>
      </c>
      <c r="I28">
        <v>0</v>
      </c>
      <c r="J28" s="3" t="s">
        <v>25</v>
      </c>
      <c r="K28">
        <v>0</v>
      </c>
      <c r="L28">
        <v>0</v>
      </c>
      <c r="M28">
        <v>0.003267</v>
      </c>
      <c r="N28">
        <v>4</v>
      </c>
      <c r="O28" s="3" t="s">
        <v>164</v>
      </c>
      <c r="P28">
        <v>4</v>
      </c>
      <c r="Q28">
        <v>0.003954</v>
      </c>
      <c r="S28">
        <v>0.005329</v>
      </c>
      <c r="T28">
        <f t="shared" si="0"/>
        <v>0</v>
      </c>
      <c r="U28">
        <f t="shared" si="1"/>
        <v>1</v>
      </c>
    </row>
    <row r="29" spans="1:21">
      <c r="A29" t="s">
        <v>64</v>
      </c>
      <c r="B29">
        <v>146</v>
      </c>
      <c r="C29">
        <v>9828</v>
      </c>
      <c r="D29">
        <v>131</v>
      </c>
      <c r="E29">
        <v>8435</v>
      </c>
      <c r="F29">
        <v>0.001024</v>
      </c>
      <c r="G29">
        <v>8435</v>
      </c>
      <c r="H29">
        <v>0.070335</v>
      </c>
      <c r="I29">
        <v>8435</v>
      </c>
      <c r="J29">
        <v>0.922861</v>
      </c>
      <c r="K29">
        <v>2522</v>
      </c>
      <c r="L29">
        <v>120</v>
      </c>
      <c r="M29">
        <v>1.53331</v>
      </c>
      <c r="N29">
        <v>115</v>
      </c>
      <c r="O29" s="2">
        <v>0.002235</v>
      </c>
      <c r="P29">
        <v>115</v>
      </c>
      <c r="Q29">
        <v>2.77994</v>
      </c>
      <c r="S29">
        <v>1.74365</v>
      </c>
      <c r="T29">
        <f t="shared" si="0"/>
        <v>1</v>
      </c>
      <c r="U29">
        <f t="shared" si="1"/>
        <v>0</v>
      </c>
    </row>
    <row r="30" spans="1:21">
      <c r="A30" t="s">
        <v>65</v>
      </c>
      <c r="B30">
        <v>488</v>
      </c>
      <c r="C30">
        <v>71011</v>
      </c>
      <c r="D30">
        <v>371</v>
      </c>
      <c r="E30">
        <v>62369</v>
      </c>
      <c r="F30">
        <v>0.008664</v>
      </c>
      <c r="G30">
        <v>-1</v>
      </c>
      <c r="H30">
        <v>2.16742</v>
      </c>
      <c r="I30">
        <v>-1</v>
      </c>
      <c r="J30">
        <v>-1</v>
      </c>
      <c r="K30">
        <v>0</v>
      </c>
      <c r="L30">
        <v>0</v>
      </c>
      <c r="M30">
        <v>-1</v>
      </c>
      <c r="N30">
        <v>229</v>
      </c>
      <c r="O30">
        <v>0.055292</v>
      </c>
      <c r="P30">
        <v>229</v>
      </c>
      <c r="Q30">
        <v>600</v>
      </c>
      <c r="S30">
        <v>600</v>
      </c>
      <c r="T30">
        <f t="shared" si="0"/>
        <v>0</v>
      </c>
      <c r="U30">
        <f t="shared" si="1"/>
        <v>0</v>
      </c>
    </row>
    <row r="31" spans="1:21">
      <c r="A31" t="s">
        <v>66</v>
      </c>
      <c r="B31">
        <v>1303</v>
      </c>
      <c r="C31">
        <v>531893</v>
      </c>
      <c r="D31">
        <v>1132</v>
      </c>
      <c r="E31">
        <v>498788</v>
      </c>
      <c r="F31">
        <v>0.076607</v>
      </c>
      <c r="G31">
        <v>498782</v>
      </c>
      <c r="H31">
        <v>68.0848</v>
      </c>
      <c r="I31">
        <v>498782</v>
      </c>
      <c r="J31">
        <v>167.51</v>
      </c>
      <c r="K31">
        <v>600</v>
      </c>
      <c r="L31">
        <v>0</v>
      </c>
      <c r="M31">
        <v>-1</v>
      </c>
      <c r="N31">
        <v>419</v>
      </c>
      <c r="O31" s="2">
        <v>1.17817</v>
      </c>
      <c r="P31">
        <v>419</v>
      </c>
      <c r="Q31">
        <v>600</v>
      </c>
      <c r="S31">
        <v>600</v>
      </c>
      <c r="T31">
        <f t="shared" si="0"/>
        <v>0</v>
      </c>
      <c r="U31">
        <f t="shared" si="1"/>
        <v>0</v>
      </c>
    </row>
    <row r="32" spans="1:21">
      <c r="A32" t="s">
        <v>67</v>
      </c>
      <c r="B32">
        <v>10972</v>
      </c>
      <c r="C32">
        <v>175573</v>
      </c>
      <c r="D32">
        <v>950</v>
      </c>
      <c r="E32">
        <v>36624</v>
      </c>
      <c r="F32">
        <v>0.008941</v>
      </c>
      <c r="G32">
        <v>35668</v>
      </c>
      <c r="H32">
        <v>0.257008</v>
      </c>
      <c r="I32">
        <v>35664</v>
      </c>
      <c r="J32">
        <v>4.24883</v>
      </c>
      <c r="K32">
        <v>8841</v>
      </c>
      <c r="L32">
        <v>0</v>
      </c>
      <c r="M32">
        <v>-1</v>
      </c>
      <c r="N32">
        <v>51</v>
      </c>
      <c r="O32">
        <v>0.033133</v>
      </c>
      <c r="P32">
        <v>69</v>
      </c>
      <c r="Q32">
        <v>600</v>
      </c>
      <c r="S32">
        <v>600</v>
      </c>
      <c r="T32">
        <f t="shared" si="0"/>
        <v>0</v>
      </c>
      <c r="U32">
        <f t="shared" si="1"/>
        <v>0</v>
      </c>
    </row>
    <row r="33" spans="1:21">
      <c r="A33" t="s">
        <v>68</v>
      </c>
      <c r="B33">
        <v>113</v>
      </c>
      <c r="C33">
        <v>6222</v>
      </c>
      <c r="D33">
        <v>107</v>
      </c>
      <c r="E33">
        <v>5669</v>
      </c>
      <c r="F33">
        <v>0.000637</v>
      </c>
      <c r="G33">
        <v>5669</v>
      </c>
      <c r="H33">
        <v>0.03764</v>
      </c>
      <c r="I33">
        <v>5669</v>
      </c>
      <c r="J33">
        <v>0.000112</v>
      </c>
      <c r="K33">
        <v>24</v>
      </c>
      <c r="L33">
        <v>24</v>
      </c>
      <c r="M33">
        <v>0.832253</v>
      </c>
      <c r="N33">
        <v>102</v>
      </c>
      <c r="O33">
        <v>0.000949</v>
      </c>
      <c r="P33">
        <v>102</v>
      </c>
      <c r="Q33">
        <v>0.901524</v>
      </c>
      <c r="S33">
        <v>1.01137</v>
      </c>
      <c r="T33">
        <f t="shared" si="0"/>
        <v>0</v>
      </c>
      <c r="U33">
        <f t="shared" si="1"/>
        <v>1</v>
      </c>
    </row>
    <row r="34" spans="1:21">
      <c r="A34" t="s">
        <v>69</v>
      </c>
      <c r="B34">
        <v>1206</v>
      </c>
      <c r="C34">
        <v>65990</v>
      </c>
      <c r="D34">
        <v>321</v>
      </c>
      <c r="E34">
        <v>38139</v>
      </c>
      <c r="F34">
        <v>0.0061</v>
      </c>
      <c r="G34">
        <v>36477</v>
      </c>
      <c r="H34">
        <v>0.971036</v>
      </c>
      <c r="I34">
        <v>36471</v>
      </c>
      <c r="J34">
        <v>247.485</v>
      </c>
      <c r="K34">
        <v>4903</v>
      </c>
      <c r="L34">
        <v>0</v>
      </c>
      <c r="M34">
        <v>-1</v>
      </c>
      <c r="N34">
        <v>125</v>
      </c>
      <c r="O34">
        <v>0.02673</v>
      </c>
      <c r="P34">
        <v>151</v>
      </c>
      <c r="Q34">
        <v>600</v>
      </c>
      <c r="S34">
        <v>600</v>
      </c>
      <c r="T34">
        <f t="shared" si="0"/>
        <v>0</v>
      </c>
      <c r="U34">
        <f t="shared" si="1"/>
        <v>0</v>
      </c>
    </row>
    <row r="35" spans="1:21">
      <c r="A35" t="s">
        <v>70</v>
      </c>
      <c r="B35">
        <v>17151</v>
      </c>
      <c r="C35">
        <v>24015</v>
      </c>
      <c r="D35">
        <v>96</v>
      </c>
      <c r="E35">
        <v>995</v>
      </c>
      <c r="F35">
        <v>0.000861</v>
      </c>
      <c r="G35">
        <v>894</v>
      </c>
      <c r="H35">
        <v>0.001658</v>
      </c>
      <c r="I35">
        <v>893</v>
      </c>
      <c r="J35">
        <v>0.383576</v>
      </c>
      <c r="K35">
        <v>1655</v>
      </c>
      <c r="L35">
        <v>151</v>
      </c>
      <c r="M35">
        <v>0.18757</v>
      </c>
      <c r="N35">
        <v>13</v>
      </c>
      <c r="O35" s="2">
        <v>0.002487</v>
      </c>
      <c r="P35">
        <v>14</v>
      </c>
      <c r="Q35">
        <v>0.588619</v>
      </c>
      <c r="S35">
        <v>0.220655</v>
      </c>
      <c r="T35">
        <f t="shared" si="0"/>
        <v>1</v>
      </c>
      <c r="U35">
        <f t="shared" si="1"/>
        <v>0</v>
      </c>
    </row>
    <row r="36" spans="1:21">
      <c r="A36" t="s">
        <v>71</v>
      </c>
      <c r="B36">
        <v>72</v>
      </c>
      <c r="C36">
        <v>355</v>
      </c>
      <c r="D36">
        <v>18</v>
      </c>
      <c r="E36">
        <v>150</v>
      </c>
      <c r="F36" s="3" t="s">
        <v>39</v>
      </c>
      <c r="G36">
        <v>150</v>
      </c>
      <c r="H36">
        <v>0.000141</v>
      </c>
      <c r="I36">
        <v>150</v>
      </c>
      <c r="J36" s="3" t="s">
        <v>72</v>
      </c>
      <c r="K36">
        <v>1</v>
      </c>
      <c r="L36">
        <v>1</v>
      </c>
      <c r="M36">
        <v>0.017089</v>
      </c>
      <c r="N36">
        <v>15</v>
      </c>
      <c r="O36" s="3" t="s">
        <v>165</v>
      </c>
      <c r="P36">
        <v>15</v>
      </c>
      <c r="Q36">
        <v>0.023705</v>
      </c>
      <c r="S36">
        <v>0.013558</v>
      </c>
      <c r="T36">
        <f t="shared" si="0"/>
        <v>1</v>
      </c>
      <c r="U36">
        <f t="shared" si="1"/>
        <v>0</v>
      </c>
    </row>
    <row r="37" spans="1:21">
      <c r="A37" t="s">
        <v>74</v>
      </c>
      <c r="B37">
        <v>34</v>
      </c>
      <c r="C37">
        <v>96</v>
      </c>
      <c r="D37">
        <v>12</v>
      </c>
      <c r="E37">
        <v>53</v>
      </c>
      <c r="F37" s="3" t="s">
        <v>55</v>
      </c>
      <c r="G37">
        <v>53</v>
      </c>
      <c r="H37" s="3" t="s">
        <v>166</v>
      </c>
      <c r="I37">
        <v>53</v>
      </c>
      <c r="J37">
        <v>0.013675</v>
      </c>
      <c r="K37">
        <v>26</v>
      </c>
      <c r="L37">
        <v>5</v>
      </c>
      <c r="M37">
        <v>0.015563</v>
      </c>
      <c r="N37">
        <v>7</v>
      </c>
      <c r="O37" s="2">
        <v>1.2e-5</v>
      </c>
      <c r="P37">
        <v>7</v>
      </c>
      <c r="Q37">
        <v>0.05217</v>
      </c>
      <c r="S37">
        <v>0.010842</v>
      </c>
      <c r="T37">
        <f t="shared" si="0"/>
        <v>1</v>
      </c>
      <c r="U37">
        <f t="shared" si="1"/>
        <v>0</v>
      </c>
    </row>
    <row r="38" spans="1:21">
      <c r="A38" t="s">
        <v>78</v>
      </c>
      <c r="B38">
        <v>72</v>
      </c>
      <c r="C38">
        <v>129</v>
      </c>
      <c r="D38">
        <v>12</v>
      </c>
      <c r="E38">
        <v>53</v>
      </c>
      <c r="F38" s="3" t="s">
        <v>55</v>
      </c>
      <c r="G38">
        <v>35</v>
      </c>
      <c r="H38" s="3" t="s">
        <v>167</v>
      </c>
      <c r="I38">
        <v>35</v>
      </c>
      <c r="J38">
        <v>0.008544</v>
      </c>
      <c r="K38">
        <v>14</v>
      </c>
      <c r="L38">
        <v>2</v>
      </c>
      <c r="M38">
        <v>0.005255</v>
      </c>
      <c r="N38">
        <v>7</v>
      </c>
      <c r="O38" s="3" t="s">
        <v>77</v>
      </c>
      <c r="P38">
        <v>7</v>
      </c>
      <c r="Q38">
        <v>0.022353</v>
      </c>
      <c r="S38">
        <v>0.014404</v>
      </c>
      <c r="T38">
        <f t="shared" si="0"/>
        <v>1</v>
      </c>
      <c r="U38">
        <f t="shared" si="1"/>
        <v>0</v>
      </c>
    </row>
    <row r="39" spans="1:21">
      <c r="A39" t="s">
        <v>80</v>
      </c>
      <c r="B39">
        <v>80</v>
      </c>
      <c r="C39">
        <v>226</v>
      </c>
      <c r="D39">
        <v>18</v>
      </c>
      <c r="E39">
        <v>103</v>
      </c>
      <c r="F39" s="3" t="s">
        <v>102</v>
      </c>
      <c r="G39">
        <v>80</v>
      </c>
      <c r="H39" s="3" t="s">
        <v>151</v>
      </c>
      <c r="I39">
        <v>80</v>
      </c>
      <c r="J39">
        <v>0.006109</v>
      </c>
      <c r="K39">
        <v>39</v>
      </c>
      <c r="L39">
        <v>9</v>
      </c>
      <c r="M39">
        <v>0.004488</v>
      </c>
      <c r="N39">
        <v>8</v>
      </c>
      <c r="O39" s="3" t="s">
        <v>102</v>
      </c>
      <c r="P39">
        <v>9</v>
      </c>
      <c r="Q39">
        <v>0.020223</v>
      </c>
      <c r="S39">
        <v>0.079602</v>
      </c>
      <c r="T39">
        <f t="shared" si="0"/>
        <v>0</v>
      </c>
      <c r="U39">
        <f t="shared" si="1"/>
        <v>1</v>
      </c>
    </row>
    <row r="40" spans="1:21">
      <c r="A40" t="s">
        <v>82</v>
      </c>
      <c r="B40">
        <v>34</v>
      </c>
      <c r="C40">
        <v>41</v>
      </c>
      <c r="D40">
        <v>6</v>
      </c>
      <c r="E40">
        <v>14</v>
      </c>
      <c r="F40" s="3" t="s">
        <v>83</v>
      </c>
      <c r="G40">
        <v>14</v>
      </c>
      <c r="H40" s="3" t="s">
        <v>99</v>
      </c>
      <c r="I40">
        <v>14</v>
      </c>
      <c r="J40" s="3" t="s">
        <v>21</v>
      </c>
      <c r="K40">
        <v>2</v>
      </c>
      <c r="L40">
        <v>2</v>
      </c>
      <c r="M40">
        <v>0.034365</v>
      </c>
      <c r="N40">
        <v>4</v>
      </c>
      <c r="O40" s="3" t="s">
        <v>85</v>
      </c>
      <c r="P40">
        <v>4</v>
      </c>
      <c r="Q40">
        <v>0.065631</v>
      </c>
      <c r="S40">
        <v>0.013792</v>
      </c>
      <c r="T40">
        <f t="shared" si="0"/>
        <v>1</v>
      </c>
      <c r="U40">
        <f t="shared" si="1"/>
        <v>0</v>
      </c>
    </row>
    <row r="41" spans="1:21">
      <c r="A41" t="s">
        <v>86</v>
      </c>
      <c r="B41">
        <v>31</v>
      </c>
      <c r="C41">
        <v>39</v>
      </c>
      <c r="D41">
        <v>6</v>
      </c>
      <c r="E41">
        <v>15</v>
      </c>
      <c r="F41" s="3" t="s">
        <v>25</v>
      </c>
      <c r="G41">
        <v>15</v>
      </c>
      <c r="H41" s="3" t="s">
        <v>79</v>
      </c>
      <c r="I41">
        <v>15</v>
      </c>
      <c r="J41" s="3" t="s">
        <v>40</v>
      </c>
      <c r="K41">
        <v>1</v>
      </c>
      <c r="L41">
        <v>1</v>
      </c>
      <c r="M41">
        <v>0.015436</v>
      </c>
      <c r="N41">
        <v>5</v>
      </c>
      <c r="O41" s="2">
        <v>1.2e-5</v>
      </c>
      <c r="P41">
        <v>5</v>
      </c>
      <c r="Q41">
        <v>0.022014</v>
      </c>
      <c r="S41">
        <v>0.013077</v>
      </c>
      <c r="T41">
        <f t="shared" si="0"/>
        <v>1</v>
      </c>
      <c r="U41">
        <f t="shared" si="1"/>
        <v>0</v>
      </c>
    </row>
    <row r="42" spans="1:21">
      <c r="A42" t="s">
        <v>87</v>
      </c>
      <c r="B42">
        <v>135</v>
      </c>
      <c r="C42">
        <v>1078</v>
      </c>
      <c r="D42">
        <v>34</v>
      </c>
      <c r="E42">
        <v>451</v>
      </c>
      <c r="F42" s="3" t="s">
        <v>168</v>
      </c>
      <c r="G42">
        <v>407</v>
      </c>
      <c r="H42">
        <v>0.001013</v>
      </c>
      <c r="I42">
        <v>407</v>
      </c>
      <c r="J42">
        <v>0.069873</v>
      </c>
      <c r="K42">
        <v>61</v>
      </c>
      <c r="L42">
        <v>2</v>
      </c>
      <c r="M42">
        <v>0.033579</v>
      </c>
      <c r="N42">
        <v>21</v>
      </c>
      <c r="O42" s="2">
        <v>0.000113</v>
      </c>
      <c r="P42">
        <v>21</v>
      </c>
      <c r="Q42">
        <v>0.130561</v>
      </c>
      <c r="S42">
        <v>0.036055</v>
      </c>
      <c r="T42">
        <f t="shared" si="0"/>
        <v>1</v>
      </c>
      <c r="U42">
        <f t="shared" si="1"/>
        <v>0</v>
      </c>
    </row>
    <row r="43" spans="1:21">
      <c r="A43" t="s">
        <v>90</v>
      </c>
      <c r="B43">
        <v>13</v>
      </c>
      <c r="C43">
        <v>7</v>
      </c>
      <c r="D43">
        <v>1</v>
      </c>
      <c r="E43">
        <v>0</v>
      </c>
      <c r="F43" s="3" t="s">
        <v>40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0.002596</v>
      </c>
      <c r="N43">
        <v>2</v>
      </c>
      <c r="O43" s="3" t="s">
        <v>91</v>
      </c>
      <c r="P43">
        <v>2</v>
      </c>
      <c r="Q43">
        <v>0.007694</v>
      </c>
      <c r="S43">
        <v>0.006274</v>
      </c>
      <c r="T43">
        <f t="shared" si="0"/>
        <v>1</v>
      </c>
      <c r="U43">
        <f t="shared" si="1"/>
        <v>0</v>
      </c>
    </row>
    <row r="44" spans="1:21">
      <c r="A44" t="s">
        <v>92</v>
      </c>
      <c r="B44">
        <v>5</v>
      </c>
      <c r="C44">
        <v>6</v>
      </c>
      <c r="D44">
        <v>4</v>
      </c>
      <c r="E44">
        <v>5</v>
      </c>
      <c r="F44" s="3" t="s">
        <v>83</v>
      </c>
      <c r="G44">
        <v>5</v>
      </c>
      <c r="H44" s="3" t="s">
        <v>85</v>
      </c>
      <c r="I44">
        <v>5</v>
      </c>
      <c r="J44" s="3" t="s">
        <v>40</v>
      </c>
      <c r="K44">
        <v>2</v>
      </c>
      <c r="L44">
        <v>2</v>
      </c>
      <c r="M44">
        <v>0.022667</v>
      </c>
      <c r="N44">
        <v>2</v>
      </c>
      <c r="O44" s="3" t="s">
        <v>84</v>
      </c>
      <c r="P44">
        <v>2</v>
      </c>
      <c r="Q44">
        <v>0.044693</v>
      </c>
      <c r="S44">
        <v>0.017961</v>
      </c>
      <c r="T44">
        <f t="shared" si="0"/>
        <v>1</v>
      </c>
      <c r="U44">
        <f t="shared" si="1"/>
        <v>0</v>
      </c>
    </row>
    <row r="45" spans="1:21">
      <c r="A45" t="s">
        <v>93</v>
      </c>
      <c r="B45">
        <v>22</v>
      </c>
      <c r="C45">
        <v>12</v>
      </c>
      <c r="D45">
        <v>2</v>
      </c>
      <c r="E45">
        <v>1</v>
      </c>
      <c r="F45" s="3" t="s">
        <v>40</v>
      </c>
      <c r="G45">
        <v>0</v>
      </c>
      <c r="H45" s="3" t="s">
        <v>40</v>
      </c>
      <c r="I45">
        <v>0</v>
      </c>
      <c r="J45">
        <v>0</v>
      </c>
      <c r="K45">
        <v>0</v>
      </c>
      <c r="L45">
        <v>0</v>
      </c>
      <c r="M45">
        <v>0.007009</v>
      </c>
      <c r="N45">
        <v>2</v>
      </c>
      <c r="O45" s="3" t="s">
        <v>72</v>
      </c>
      <c r="P45">
        <v>2</v>
      </c>
      <c r="Q45">
        <v>0.032579</v>
      </c>
      <c r="S45">
        <v>0.010427</v>
      </c>
      <c r="T45">
        <f t="shared" si="0"/>
        <v>1</v>
      </c>
      <c r="U45">
        <f t="shared" si="1"/>
        <v>0</v>
      </c>
    </row>
    <row r="46" spans="1:21">
      <c r="A46" t="s">
        <v>94</v>
      </c>
      <c r="B46">
        <v>62</v>
      </c>
      <c r="C46">
        <v>442</v>
      </c>
      <c r="D46">
        <v>22</v>
      </c>
      <c r="E46">
        <v>207</v>
      </c>
      <c r="F46" s="3" t="s">
        <v>73</v>
      </c>
      <c r="G46">
        <v>168</v>
      </c>
      <c r="H46">
        <v>0.000229</v>
      </c>
      <c r="I46">
        <v>168</v>
      </c>
      <c r="J46">
        <v>0.011046</v>
      </c>
      <c r="K46">
        <v>29</v>
      </c>
      <c r="L46">
        <v>2</v>
      </c>
      <c r="M46">
        <v>0.013755</v>
      </c>
      <c r="N46">
        <v>16</v>
      </c>
      <c r="O46" s="2">
        <v>3.6e-5</v>
      </c>
      <c r="P46">
        <v>16</v>
      </c>
      <c r="Q46">
        <v>0.032305</v>
      </c>
      <c r="S46">
        <v>0.017489</v>
      </c>
      <c r="T46">
        <f t="shared" si="0"/>
        <v>1</v>
      </c>
      <c r="U46">
        <f t="shared" si="1"/>
        <v>0</v>
      </c>
    </row>
    <row r="47" spans="1:21">
      <c r="A47" t="s">
        <v>96</v>
      </c>
      <c r="B47">
        <v>21</v>
      </c>
      <c r="C47">
        <v>23</v>
      </c>
      <c r="D47">
        <v>6</v>
      </c>
      <c r="E47">
        <v>15</v>
      </c>
      <c r="F47" s="3" t="s">
        <v>31</v>
      </c>
      <c r="G47">
        <v>15</v>
      </c>
      <c r="H47" s="3" t="s">
        <v>59</v>
      </c>
      <c r="I47">
        <v>15</v>
      </c>
      <c r="J47" s="3" t="s">
        <v>21</v>
      </c>
      <c r="K47">
        <v>1</v>
      </c>
      <c r="L47">
        <v>1</v>
      </c>
      <c r="M47">
        <v>0.028535</v>
      </c>
      <c r="N47">
        <v>5</v>
      </c>
      <c r="O47" s="3" t="s">
        <v>85</v>
      </c>
      <c r="P47">
        <v>5</v>
      </c>
      <c r="Q47">
        <v>0.041775</v>
      </c>
      <c r="S47">
        <v>0.009054</v>
      </c>
      <c r="T47">
        <f t="shared" si="0"/>
        <v>1</v>
      </c>
      <c r="U47">
        <f t="shared" si="1"/>
        <v>0</v>
      </c>
    </row>
    <row r="48" spans="1:21">
      <c r="A48" t="s">
        <v>97</v>
      </c>
      <c r="B48">
        <v>10</v>
      </c>
      <c r="C48">
        <v>5</v>
      </c>
      <c r="D48">
        <v>0</v>
      </c>
      <c r="E48">
        <v>0</v>
      </c>
      <c r="F48" s="3" t="s">
        <v>40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0.003124</v>
      </c>
      <c r="N48">
        <v>2</v>
      </c>
      <c r="O48" s="2">
        <v>5e-6</v>
      </c>
      <c r="P48">
        <v>2</v>
      </c>
      <c r="Q48">
        <v>0.009871</v>
      </c>
      <c r="S48">
        <v>0.0056</v>
      </c>
      <c r="T48">
        <f t="shared" si="0"/>
        <v>1</v>
      </c>
      <c r="U48">
        <f t="shared" si="1"/>
        <v>0</v>
      </c>
    </row>
    <row r="49" spans="1:21">
      <c r="A49" t="s">
        <v>98</v>
      </c>
      <c r="B49">
        <v>27</v>
      </c>
      <c r="C49">
        <v>26</v>
      </c>
      <c r="D49">
        <v>12</v>
      </c>
      <c r="E49">
        <v>16</v>
      </c>
      <c r="F49" s="3" t="s">
        <v>83</v>
      </c>
      <c r="G49">
        <v>13</v>
      </c>
      <c r="H49" s="3" t="s">
        <v>99</v>
      </c>
      <c r="I49">
        <v>10</v>
      </c>
      <c r="J49">
        <v>0.016877</v>
      </c>
      <c r="K49">
        <v>2</v>
      </c>
      <c r="L49">
        <v>2</v>
      </c>
      <c r="M49">
        <v>0.017759</v>
      </c>
      <c r="N49">
        <v>2</v>
      </c>
      <c r="O49" s="2">
        <v>5e-6</v>
      </c>
      <c r="P49">
        <v>3</v>
      </c>
      <c r="Q49">
        <v>0.054877</v>
      </c>
      <c r="S49">
        <v>0.009417</v>
      </c>
      <c r="T49">
        <f t="shared" si="0"/>
        <v>1</v>
      </c>
      <c r="U49">
        <f t="shared" si="1"/>
        <v>0</v>
      </c>
    </row>
    <row r="50" spans="1:21">
      <c r="A50" t="s">
        <v>100</v>
      </c>
      <c r="B50">
        <v>273</v>
      </c>
      <c r="C50">
        <v>4510</v>
      </c>
      <c r="D50">
        <v>91</v>
      </c>
      <c r="E50">
        <v>2568</v>
      </c>
      <c r="F50">
        <v>0.000557</v>
      </c>
      <c r="G50">
        <v>2461</v>
      </c>
      <c r="H50">
        <v>0.011811</v>
      </c>
      <c r="I50">
        <v>2444</v>
      </c>
      <c r="J50">
        <v>0.842801</v>
      </c>
      <c r="K50">
        <v>1208</v>
      </c>
      <c r="L50">
        <v>53</v>
      </c>
      <c r="M50">
        <v>0.210297</v>
      </c>
      <c r="N50">
        <v>32</v>
      </c>
      <c r="O50" s="2">
        <v>0.000645</v>
      </c>
      <c r="P50">
        <v>39</v>
      </c>
      <c r="Q50">
        <v>1.0855</v>
      </c>
      <c r="S50">
        <v>0.914891</v>
      </c>
      <c r="T50">
        <f t="shared" si="0"/>
        <v>1</v>
      </c>
      <c r="U50">
        <f t="shared" si="1"/>
        <v>0</v>
      </c>
    </row>
    <row r="51" spans="1:21">
      <c r="A51" t="s">
        <v>101</v>
      </c>
      <c r="B51">
        <v>102</v>
      </c>
      <c r="C51">
        <v>108</v>
      </c>
      <c r="D51">
        <v>11</v>
      </c>
      <c r="E51">
        <v>33</v>
      </c>
      <c r="F51" s="3" t="s">
        <v>25</v>
      </c>
      <c r="G51">
        <v>33</v>
      </c>
      <c r="H51" s="3" t="s">
        <v>138</v>
      </c>
      <c r="I51">
        <v>33</v>
      </c>
      <c r="J51">
        <v>0.006083</v>
      </c>
      <c r="K51">
        <v>9</v>
      </c>
      <c r="L51">
        <v>3</v>
      </c>
      <c r="M51">
        <v>0.018272</v>
      </c>
      <c r="N51">
        <v>4</v>
      </c>
      <c r="O51" s="3" t="s">
        <v>79</v>
      </c>
      <c r="P51">
        <v>5</v>
      </c>
      <c r="Q51">
        <v>0.049588</v>
      </c>
      <c r="S51">
        <v>0.00911</v>
      </c>
      <c r="T51">
        <f t="shared" si="0"/>
        <v>1</v>
      </c>
      <c r="U51">
        <f t="shared" si="1"/>
        <v>0</v>
      </c>
    </row>
    <row r="52" spans="1:21">
      <c r="A52" t="s">
        <v>103</v>
      </c>
      <c r="B52">
        <v>8</v>
      </c>
      <c r="C52">
        <v>4</v>
      </c>
      <c r="D52">
        <v>0</v>
      </c>
      <c r="E52">
        <v>0</v>
      </c>
      <c r="F52" s="3" t="s">
        <v>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0.002428</v>
      </c>
      <c r="N52">
        <v>2</v>
      </c>
      <c r="O52" s="3" t="s">
        <v>40</v>
      </c>
      <c r="P52">
        <v>2</v>
      </c>
      <c r="Q52">
        <v>0.013076</v>
      </c>
      <c r="S52">
        <v>0.00565</v>
      </c>
      <c r="T52">
        <f t="shared" si="0"/>
        <v>1</v>
      </c>
      <c r="U52">
        <f t="shared" si="1"/>
        <v>0</v>
      </c>
    </row>
    <row r="53" spans="1:21">
      <c r="A53" t="s">
        <v>104</v>
      </c>
      <c r="B53">
        <v>55</v>
      </c>
      <c r="C53">
        <v>60</v>
      </c>
      <c r="D53">
        <v>8</v>
      </c>
      <c r="E53">
        <v>20</v>
      </c>
      <c r="F53" s="3" t="s">
        <v>85</v>
      </c>
      <c r="G53">
        <v>10</v>
      </c>
      <c r="H53" s="3" t="s">
        <v>77</v>
      </c>
      <c r="I53">
        <v>10</v>
      </c>
      <c r="J53">
        <v>0.008227</v>
      </c>
      <c r="K53">
        <v>7</v>
      </c>
      <c r="L53">
        <v>1</v>
      </c>
      <c r="M53">
        <v>0.014512</v>
      </c>
      <c r="N53">
        <v>4</v>
      </c>
      <c r="O53" s="2">
        <v>1e-5</v>
      </c>
      <c r="P53">
        <v>4</v>
      </c>
      <c r="Q53">
        <v>0.031447</v>
      </c>
      <c r="S53">
        <v>0.013368</v>
      </c>
      <c r="T53">
        <f t="shared" si="0"/>
        <v>1</v>
      </c>
      <c r="U53">
        <f t="shared" si="1"/>
        <v>0</v>
      </c>
    </row>
    <row r="54" spans="1:21">
      <c r="A54" t="s">
        <v>105</v>
      </c>
      <c r="B54">
        <v>127</v>
      </c>
      <c r="C54">
        <v>931</v>
      </c>
      <c r="D54">
        <v>38</v>
      </c>
      <c r="E54">
        <v>449</v>
      </c>
      <c r="F54" s="3" t="s">
        <v>63</v>
      </c>
      <c r="G54">
        <v>408</v>
      </c>
      <c r="H54">
        <v>0.000679</v>
      </c>
      <c r="I54">
        <v>408</v>
      </c>
      <c r="J54">
        <v>0.027706</v>
      </c>
      <c r="K54">
        <v>144</v>
      </c>
      <c r="L54">
        <v>15</v>
      </c>
      <c r="M54">
        <v>0.012025</v>
      </c>
      <c r="N54">
        <v>16</v>
      </c>
      <c r="O54" s="3" t="s">
        <v>169</v>
      </c>
      <c r="P54">
        <v>17</v>
      </c>
      <c r="Q54">
        <v>0.0493</v>
      </c>
      <c r="S54">
        <v>0.032138</v>
      </c>
      <c r="T54">
        <f t="shared" si="0"/>
        <v>1</v>
      </c>
      <c r="U54">
        <f t="shared" si="1"/>
        <v>0</v>
      </c>
    </row>
    <row r="55" spans="1:21">
      <c r="A55" t="s">
        <v>107</v>
      </c>
      <c r="B55">
        <v>16</v>
      </c>
      <c r="C55">
        <v>13</v>
      </c>
      <c r="D55">
        <v>5</v>
      </c>
      <c r="E55">
        <v>5</v>
      </c>
      <c r="F55" s="3" t="s">
        <v>91</v>
      </c>
      <c r="G55">
        <v>5</v>
      </c>
      <c r="H55" s="3" t="s">
        <v>91</v>
      </c>
      <c r="I55">
        <v>5</v>
      </c>
      <c r="J55">
        <v>0</v>
      </c>
      <c r="K55">
        <v>2</v>
      </c>
      <c r="L55">
        <v>2</v>
      </c>
      <c r="M55">
        <v>0.025234</v>
      </c>
      <c r="N55">
        <v>2</v>
      </c>
      <c r="O55" s="3" t="s">
        <v>72</v>
      </c>
      <c r="P55">
        <v>2</v>
      </c>
      <c r="Q55">
        <v>0.033025</v>
      </c>
      <c r="S55">
        <v>0.014672</v>
      </c>
      <c r="T55">
        <f t="shared" si="0"/>
        <v>1</v>
      </c>
      <c r="U55">
        <f t="shared" si="1"/>
        <v>0</v>
      </c>
    </row>
    <row r="56" spans="1:21">
      <c r="A56" t="s">
        <v>108</v>
      </c>
      <c r="B56">
        <v>35</v>
      </c>
      <c r="C56">
        <v>368</v>
      </c>
      <c r="D56">
        <v>27</v>
      </c>
      <c r="E56">
        <v>351</v>
      </c>
      <c r="F56" s="3" t="s">
        <v>24</v>
      </c>
      <c r="G56">
        <v>351</v>
      </c>
      <c r="H56">
        <v>0.000758</v>
      </c>
      <c r="I56">
        <v>351</v>
      </c>
      <c r="J56" s="3" t="s">
        <v>84</v>
      </c>
      <c r="K56">
        <v>1</v>
      </c>
      <c r="L56">
        <v>1</v>
      </c>
      <c r="M56">
        <v>0.048515</v>
      </c>
      <c r="N56">
        <v>26</v>
      </c>
      <c r="O56" s="2">
        <v>3.1e-5</v>
      </c>
      <c r="P56">
        <v>26</v>
      </c>
      <c r="Q56">
        <v>0.057894</v>
      </c>
      <c r="S56">
        <v>0.014096</v>
      </c>
      <c r="T56">
        <f t="shared" si="0"/>
        <v>1</v>
      </c>
      <c r="U56">
        <f t="shared" si="1"/>
        <v>0</v>
      </c>
    </row>
    <row r="57" spans="1:21">
      <c r="A57" t="s">
        <v>109</v>
      </c>
      <c r="B57">
        <v>26</v>
      </c>
      <c r="C57">
        <v>15</v>
      </c>
      <c r="D57">
        <v>3</v>
      </c>
      <c r="E57">
        <v>1</v>
      </c>
      <c r="F57" s="3" t="s">
        <v>31</v>
      </c>
      <c r="G57">
        <v>0</v>
      </c>
      <c r="H57" s="3" t="s">
        <v>72</v>
      </c>
      <c r="I57">
        <v>0</v>
      </c>
      <c r="J57" s="3" t="s">
        <v>21</v>
      </c>
      <c r="K57">
        <v>0</v>
      </c>
      <c r="L57">
        <v>0</v>
      </c>
      <c r="M57">
        <v>0.003542</v>
      </c>
      <c r="N57">
        <v>2</v>
      </c>
      <c r="O57" s="3" t="s">
        <v>59</v>
      </c>
      <c r="P57">
        <v>2</v>
      </c>
      <c r="Q57">
        <v>0.01045</v>
      </c>
      <c r="S57">
        <v>0.029752</v>
      </c>
      <c r="T57">
        <f t="shared" si="0"/>
        <v>0</v>
      </c>
      <c r="U57">
        <f t="shared" si="1"/>
        <v>1</v>
      </c>
    </row>
    <row r="58" spans="1:21">
      <c r="A58" t="s">
        <v>110</v>
      </c>
      <c r="B58">
        <v>14</v>
      </c>
      <c r="C58">
        <v>11</v>
      </c>
      <c r="D58">
        <v>5</v>
      </c>
      <c r="E58">
        <v>3</v>
      </c>
      <c r="F58" s="3" t="s">
        <v>83</v>
      </c>
      <c r="G58">
        <v>3</v>
      </c>
      <c r="H58" s="3" t="s">
        <v>31</v>
      </c>
      <c r="I58">
        <v>3</v>
      </c>
      <c r="J58" s="3" t="s">
        <v>21</v>
      </c>
      <c r="K58">
        <v>1</v>
      </c>
      <c r="L58">
        <v>1</v>
      </c>
      <c r="M58">
        <v>0.020035</v>
      </c>
      <c r="N58">
        <v>2</v>
      </c>
      <c r="O58" s="3" t="s">
        <v>25</v>
      </c>
      <c r="P58">
        <v>2</v>
      </c>
      <c r="Q58">
        <v>0.041125</v>
      </c>
      <c r="S58">
        <v>0.014453</v>
      </c>
      <c r="T58">
        <f t="shared" si="0"/>
        <v>1</v>
      </c>
      <c r="U58">
        <f t="shared" si="1"/>
        <v>0</v>
      </c>
    </row>
    <row r="59" spans="1:21">
      <c r="A59" t="s">
        <v>111</v>
      </c>
      <c r="B59">
        <v>28</v>
      </c>
      <c r="C59">
        <v>91</v>
      </c>
      <c r="D59">
        <v>12</v>
      </c>
      <c r="E59">
        <v>55</v>
      </c>
      <c r="F59" s="3" t="s">
        <v>75</v>
      </c>
      <c r="G59">
        <v>55</v>
      </c>
      <c r="H59" s="3" t="s">
        <v>170</v>
      </c>
      <c r="I59">
        <v>55</v>
      </c>
      <c r="J59">
        <v>0.007616</v>
      </c>
      <c r="K59">
        <v>25</v>
      </c>
      <c r="L59">
        <v>4</v>
      </c>
      <c r="M59">
        <v>0.010728</v>
      </c>
      <c r="N59">
        <v>7</v>
      </c>
      <c r="O59" s="3" t="s">
        <v>60</v>
      </c>
      <c r="P59">
        <v>7</v>
      </c>
      <c r="Q59">
        <v>0.02632</v>
      </c>
      <c r="S59">
        <v>0.008124</v>
      </c>
      <c r="T59">
        <f t="shared" si="0"/>
        <v>1</v>
      </c>
      <c r="U59">
        <f t="shared" si="1"/>
        <v>0</v>
      </c>
    </row>
    <row r="60" spans="1:21">
      <c r="A60" t="s">
        <v>115</v>
      </c>
      <c r="B60">
        <v>26</v>
      </c>
      <c r="C60">
        <v>18</v>
      </c>
      <c r="D60">
        <v>6</v>
      </c>
      <c r="E60">
        <v>6</v>
      </c>
      <c r="F60" s="3" t="s">
        <v>72</v>
      </c>
      <c r="G60">
        <v>5</v>
      </c>
      <c r="H60" s="3" t="s">
        <v>83</v>
      </c>
      <c r="I60">
        <v>4</v>
      </c>
      <c r="J60">
        <v>0.006672</v>
      </c>
      <c r="K60">
        <v>1</v>
      </c>
      <c r="L60">
        <v>1</v>
      </c>
      <c r="M60">
        <v>0.016685</v>
      </c>
      <c r="N60">
        <v>2</v>
      </c>
      <c r="O60" s="2">
        <v>8e-6</v>
      </c>
      <c r="P60">
        <v>2</v>
      </c>
      <c r="Q60">
        <v>0.03473</v>
      </c>
      <c r="S60">
        <v>0.025471</v>
      </c>
      <c r="T60">
        <f t="shared" si="0"/>
        <v>1</v>
      </c>
      <c r="U60">
        <f t="shared" si="1"/>
        <v>0</v>
      </c>
    </row>
    <row r="61" spans="1:21">
      <c r="A61" t="s">
        <v>116</v>
      </c>
      <c r="B61">
        <v>13</v>
      </c>
      <c r="C61">
        <v>8</v>
      </c>
      <c r="D61">
        <v>2</v>
      </c>
      <c r="E61">
        <v>1</v>
      </c>
      <c r="F61" s="3" t="s">
        <v>91</v>
      </c>
      <c r="G61">
        <v>0</v>
      </c>
      <c r="H61" s="3" t="s">
        <v>91</v>
      </c>
      <c r="I61">
        <v>0</v>
      </c>
      <c r="J61">
        <v>0</v>
      </c>
      <c r="K61">
        <v>0</v>
      </c>
      <c r="L61">
        <v>0</v>
      </c>
      <c r="M61">
        <v>0.003082</v>
      </c>
      <c r="N61">
        <v>2</v>
      </c>
      <c r="O61" s="2">
        <v>6e-6</v>
      </c>
      <c r="P61">
        <v>2</v>
      </c>
      <c r="Q61">
        <v>0.008883</v>
      </c>
      <c r="S61">
        <v>0.010107</v>
      </c>
      <c r="T61">
        <f t="shared" si="0"/>
        <v>0</v>
      </c>
      <c r="U61">
        <f t="shared" si="1"/>
        <v>1</v>
      </c>
    </row>
    <row r="62" spans="1:21">
      <c r="A62" t="s">
        <v>117</v>
      </c>
      <c r="B62">
        <v>18</v>
      </c>
      <c r="C62">
        <v>12</v>
      </c>
      <c r="D62">
        <v>5</v>
      </c>
      <c r="E62">
        <v>3</v>
      </c>
      <c r="F62" s="3" t="s">
        <v>72</v>
      </c>
      <c r="G62">
        <v>3</v>
      </c>
      <c r="H62" s="3" t="s">
        <v>83</v>
      </c>
      <c r="I62">
        <v>3</v>
      </c>
      <c r="J62" s="3" t="s">
        <v>40</v>
      </c>
      <c r="K62">
        <v>1</v>
      </c>
      <c r="L62">
        <v>1</v>
      </c>
      <c r="M62">
        <v>0.015118</v>
      </c>
      <c r="N62">
        <v>2</v>
      </c>
      <c r="O62" s="2">
        <v>7e-6</v>
      </c>
      <c r="P62">
        <v>2</v>
      </c>
      <c r="Q62">
        <v>0.02196</v>
      </c>
      <c r="S62">
        <v>0.021572</v>
      </c>
      <c r="T62">
        <f t="shared" si="0"/>
        <v>1</v>
      </c>
      <c r="U62">
        <f t="shared" si="1"/>
        <v>0</v>
      </c>
    </row>
    <row r="63" spans="1:21">
      <c r="A63" t="s">
        <v>118</v>
      </c>
      <c r="B63">
        <v>7</v>
      </c>
      <c r="C63">
        <v>5</v>
      </c>
      <c r="D63">
        <v>3</v>
      </c>
      <c r="E63">
        <v>3</v>
      </c>
      <c r="F63" s="3" t="s">
        <v>91</v>
      </c>
      <c r="G63">
        <v>3</v>
      </c>
      <c r="H63" s="3" t="s">
        <v>31</v>
      </c>
      <c r="I63">
        <v>3</v>
      </c>
      <c r="J63" s="3" t="s">
        <v>21</v>
      </c>
      <c r="K63">
        <v>1</v>
      </c>
      <c r="L63">
        <v>1</v>
      </c>
      <c r="M63">
        <v>0.021995</v>
      </c>
      <c r="N63">
        <v>2</v>
      </c>
      <c r="O63" s="3" t="s">
        <v>31</v>
      </c>
      <c r="P63">
        <v>2</v>
      </c>
      <c r="Q63">
        <v>0.042204</v>
      </c>
      <c r="S63">
        <v>0.016383</v>
      </c>
      <c r="T63">
        <f t="shared" si="0"/>
        <v>1</v>
      </c>
      <c r="U63">
        <f t="shared" si="1"/>
        <v>0</v>
      </c>
    </row>
    <row r="64" spans="1:21">
      <c r="A64" t="s">
        <v>119</v>
      </c>
      <c r="B64">
        <v>2623</v>
      </c>
      <c r="C64">
        <v>473614</v>
      </c>
      <c r="D64">
        <v>1174</v>
      </c>
      <c r="E64">
        <v>431300</v>
      </c>
      <c r="F64">
        <v>0.066518</v>
      </c>
      <c r="G64">
        <v>-1</v>
      </c>
      <c r="H64">
        <v>49.0245</v>
      </c>
      <c r="I64">
        <v>-1</v>
      </c>
      <c r="J64">
        <v>-1</v>
      </c>
      <c r="K64">
        <v>0</v>
      </c>
      <c r="L64">
        <v>0</v>
      </c>
      <c r="M64">
        <v>-1</v>
      </c>
      <c r="N64">
        <v>239</v>
      </c>
      <c r="O64">
        <v>1.00099</v>
      </c>
      <c r="P64">
        <v>239</v>
      </c>
      <c r="Q64">
        <v>600</v>
      </c>
      <c r="S64">
        <v>600</v>
      </c>
      <c r="T64">
        <f t="shared" si="0"/>
        <v>0</v>
      </c>
      <c r="U64">
        <f t="shared" si="1"/>
        <v>0</v>
      </c>
    </row>
    <row r="65" spans="1:21">
      <c r="A65" t="s">
        <v>120</v>
      </c>
      <c r="B65">
        <v>56739</v>
      </c>
      <c r="C65">
        <v>212945</v>
      </c>
      <c r="D65">
        <v>5850</v>
      </c>
      <c r="E65">
        <v>86214</v>
      </c>
      <c r="F65">
        <v>0.028633</v>
      </c>
      <c r="G65">
        <v>30948</v>
      </c>
      <c r="H65">
        <v>0.305726</v>
      </c>
      <c r="I65">
        <v>30735</v>
      </c>
      <c r="J65">
        <v>0.706098</v>
      </c>
      <c r="K65">
        <v>9265</v>
      </c>
      <c r="L65">
        <v>0</v>
      </c>
      <c r="M65">
        <v>-1</v>
      </c>
      <c r="N65">
        <v>10</v>
      </c>
      <c r="O65">
        <v>0.030895</v>
      </c>
      <c r="P65">
        <v>21</v>
      </c>
      <c r="Q65">
        <v>600</v>
      </c>
      <c r="S65">
        <v>600</v>
      </c>
      <c r="T65">
        <f t="shared" si="0"/>
        <v>0</v>
      </c>
      <c r="U65">
        <f t="shared" si="1"/>
        <v>0</v>
      </c>
    </row>
    <row r="66" spans="1:21">
      <c r="A66" t="s">
        <v>121</v>
      </c>
      <c r="B66">
        <v>62</v>
      </c>
      <c r="C66">
        <v>159</v>
      </c>
      <c r="D66">
        <v>31</v>
      </c>
      <c r="E66">
        <v>90</v>
      </c>
      <c r="F66" s="3" t="s">
        <v>102</v>
      </c>
      <c r="G66">
        <v>0</v>
      </c>
      <c r="H66" s="3" t="s">
        <v>171</v>
      </c>
      <c r="I66">
        <v>0</v>
      </c>
      <c r="J66">
        <v>0</v>
      </c>
      <c r="K66">
        <v>0</v>
      </c>
      <c r="L66">
        <v>0</v>
      </c>
      <c r="M66">
        <v>0.002482</v>
      </c>
      <c r="N66">
        <v>5</v>
      </c>
      <c r="O66" s="3" t="s">
        <v>60</v>
      </c>
      <c r="P66">
        <v>5</v>
      </c>
      <c r="Q66">
        <v>0.011179</v>
      </c>
      <c r="S66">
        <v>0.007993</v>
      </c>
      <c r="T66">
        <f t="shared" ref="T66:T96" si="2">IF(S66&lt;Q66,1,0)</f>
        <v>1</v>
      </c>
      <c r="U66">
        <f t="shared" ref="U66:U96" si="3">IF(Q66&lt;S66,1,0)</f>
        <v>0</v>
      </c>
    </row>
    <row r="67" spans="1:21">
      <c r="A67" t="s">
        <v>124</v>
      </c>
      <c r="B67">
        <v>154908</v>
      </c>
      <c r="C67">
        <v>327162</v>
      </c>
      <c r="D67">
        <v>20530</v>
      </c>
      <c r="E67">
        <v>153162</v>
      </c>
      <c r="F67">
        <v>0.048946</v>
      </c>
      <c r="G67">
        <v>11032</v>
      </c>
      <c r="H67">
        <v>0.194582</v>
      </c>
      <c r="I67">
        <v>10559</v>
      </c>
      <c r="J67">
        <v>0.072544</v>
      </c>
      <c r="K67">
        <v>2076</v>
      </c>
      <c r="L67">
        <v>0</v>
      </c>
      <c r="M67">
        <v>-1</v>
      </c>
      <c r="N67">
        <v>4</v>
      </c>
      <c r="O67" s="2">
        <v>0.052749</v>
      </c>
      <c r="P67">
        <v>4</v>
      </c>
      <c r="Q67">
        <v>600</v>
      </c>
      <c r="S67">
        <v>600</v>
      </c>
      <c r="T67">
        <f t="shared" si="2"/>
        <v>0</v>
      </c>
      <c r="U67">
        <f t="shared" si="3"/>
        <v>0</v>
      </c>
    </row>
    <row r="68" spans="1:21">
      <c r="A68" t="s">
        <v>125</v>
      </c>
      <c r="B68">
        <v>26588</v>
      </c>
      <c r="C68">
        <v>100120</v>
      </c>
      <c r="D68">
        <v>4510</v>
      </c>
      <c r="E68">
        <v>60220</v>
      </c>
      <c r="F68">
        <v>0.011899</v>
      </c>
      <c r="G68">
        <v>20835</v>
      </c>
      <c r="H68">
        <v>0.119072</v>
      </c>
      <c r="I68">
        <v>20512</v>
      </c>
      <c r="J68">
        <v>0.298079</v>
      </c>
      <c r="K68">
        <v>2762</v>
      </c>
      <c r="L68">
        <v>0</v>
      </c>
      <c r="M68">
        <v>-1</v>
      </c>
      <c r="N68">
        <v>7</v>
      </c>
      <c r="O68">
        <v>0.009816</v>
      </c>
      <c r="P68">
        <v>10</v>
      </c>
      <c r="Q68">
        <v>600</v>
      </c>
      <c r="S68">
        <v>600</v>
      </c>
      <c r="T68">
        <f t="shared" si="2"/>
        <v>0</v>
      </c>
      <c r="U68">
        <f t="shared" si="3"/>
        <v>0</v>
      </c>
    </row>
    <row r="69" spans="1:21">
      <c r="A69" t="s">
        <v>126</v>
      </c>
      <c r="B69">
        <v>22900</v>
      </c>
      <c r="C69">
        <v>852419</v>
      </c>
      <c r="D69">
        <v>18142</v>
      </c>
      <c r="E69">
        <v>817998</v>
      </c>
      <c r="F69">
        <v>0.16337</v>
      </c>
      <c r="G69">
        <v>304728</v>
      </c>
      <c r="H69">
        <v>6.9607</v>
      </c>
      <c r="I69">
        <v>304352</v>
      </c>
      <c r="J69">
        <v>0.974808</v>
      </c>
      <c r="K69">
        <v>449</v>
      </c>
      <c r="L69">
        <v>0</v>
      </c>
      <c r="M69">
        <v>-1</v>
      </c>
      <c r="N69">
        <v>17</v>
      </c>
      <c r="O69">
        <v>0.179524</v>
      </c>
      <c r="P69">
        <v>42</v>
      </c>
      <c r="Q69">
        <v>600</v>
      </c>
      <c r="S69">
        <v>600</v>
      </c>
      <c r="T69">
        <f t="shared" si="2"/>
        <v>0</v>
      </c>
      <c r="U69">
        <f t="shared" si="3"/>
        <v>0</v>
      </c>
    </row>
    <row r="70" spans="1:21">
      <c r="A70" t="s">
        <v>127</v>
      </c>
      <c r="B70">
        <v>6621</v>
      </c>
      <c r="C70">
        <v>249959</v>
      </c>
      <c r="D70">
        <v>5059</v>
      </c>
      <c r="E70">
        <v>237407</v>
      </c>
      <c r="F70">
        <v>0.038445</v>
      </c>
      <c r="G70">
        <v>117478</v>
      </c>
      <c r="H70">
        <v>1.55207</v>
      </c>
      <c r="I70">
        <v>117092</v>
      </c>
      <c r="J70">
        <v>0.60041</v>
      </c>
      <c r="K70">
        <v>1325</v>
      </c>
      <c r="L70">
        <v>0</v>
      </c>
      <c r="M70">
        <v>-1</v>
      </c>
      <c r="N70">
        <v>19</v>
      </c>
      <c r="O70" s="2">
        <v>0.039067</v>
      </c>
      <c r="P70">
        <v>41</v>
      </c>
      <c r="Q70">
        <v>600</v>
      </c>
      <c r="S70">
        <v>600</v>
      </c>
      <c r="T70">
        <f t="shared" si="2"/>
        <v>0</v>
      </c>
      <c r="U70">
        <f t="shared" si="3"/>
        <v>0</v>
      </c>
    </row>
    <row r="71" spans="1:21">
      <c r="A71" t="s">
        <v>128</v>
      </c>
      <c r="B71">
        <v>9885</v>
      </c>
      <c r="C71">
        <v>506437</v>
      </c>
      <c r="D71">
        <v>8294</v>
      </c>
      <c r="E71">
        <v>496637</v>
      </c>
      <c r="F71">
        <v>0.129568</v>
      </c>
      <c r="G71">
        <v>322615</v>
      </c>
      <c r="H71">
        <v>5.12989</v>
      </c>
      <c r="I71">
        <v>322229</v>
      </c>
      <c r="J71">
        <v>0.648971</v>
      </c>
      <c r="K71">
        <v>429</v>
      </c>
      <c r="L71">
        <v>0</v>
      </c>
      <c r="M71">
        <v>-1</v>
      </c>
      <c r="N71">
        <v>16</v>
      </c>
      <c r="O71">
        <v>0.12248</v>
      </c>
      <c r="P71">
        <v>34</v>
      </c>
      <c r="Q71">
        <v>600</v>
      </c>
      <c r="S71">
        <v>600</v>
      </c>
      <c r="T71">
        <f t="shared" si="2"/>
        <v>0</v>
      </c>
      <c r="U71">
        <f t="shared" si="3"/>
        <v>0</v>
      </c>
    </row>
    <row r="72" spans="1:21">
      <c r="A72" t="s">
        <v>129</v>
      </c>
      <c r="B72">
        <v>6402</v>
      </c>
      <c r="C72">
        <v>251230</v>
      </c>
      <c r="D72">
        <v>4795</v>
      </c>
      <c r="E72">
        <v>239929</v>
      </c>
      <c r="F72">
        <v>0.042354</v>
      </c>
      <c r="G72">
        <v>126031</v>
      </c>
      <c r="H72">
        <v>1.76778</v>
      </c>
      <c r="I72">
        <v>125640</v>
      </c>
      <c r="J72">
        <v>0.53493</v>
      </c>
      <c r="K72">
        <v>1086</v>
      </c>
      <c r="L72">
        <v>0</v>
      </c>
      <c r="M72">
        <v>-1</v>
      </c>
      <c r="N72">
        <v>19</v>
      </c>
      <c r="O72" s="2">
        <v>0.042623</v>
      </c>
      <c r="P72">
        <v>30</v>
      </c>
      <c r="Q72">
        <v>600</v>
      </c>
      <c r="S72">
        <v>600</v>
      </c>
      <c r="T72">
        <f t="shared" si="2"/>
        <v>0</v>
      </c>
      <c r="U72">
        <f t="shared" si="3"/>
        <v>0</v>
      </c>
    </row>
    <row r="73" spans="1:21">
      <c r="A73" t="s">
        <v>130</v>
      </c>
      <c r="B73">
        <v>63392</v>
      </c>
      <c r="C73">
        <v>816886</v>
      </c>
      <c r="D73">
        <v>25076</v>
      </c>
      <c r="E73">
        <v>645917</v>
      </c>
      <c r="F73">
        <v>0.135021</v>
      </c>
      <c r="G73">
        <v>249921</v>
      </c>
      <c r="H73">
        <v>2.45412</v>
      </c>
      <c r="I73">
        <v>249571</v>
      </c>
      <c r="J73">
        <v>0.441241</v>
      </c>
      <c r="K73">
        <v>754</v>
      </c>
      <c r="L73">
        <v>0</v>
      </c>
      <c r="M73">
        <v>-1</v>
      </c>
      <c r="N73">
        <v>13</v>
      </c>
      <c r="O73" s="2">
        <v>0.12689</v>
      </c>
      <c r="P73">
        <v>29</v>
      </c>
      <c r="Q73">
        <v>600</v>
      </c>
      <c r="S73">
        <v>600</v>
      </c>
      <c r="T73">
        <f t="shared" si="2"/>
        <v>0</v>
      </c>
      <c r="U73">
        <f t="shared" si="3"/>
        <v>0</v>
      </c>
    </row>
    <row r="74" spans="1:21">
      <c r="A74" t="s">
        <v>131</v>
      </c>
      <c r="B74">
        <v>11586</v>
      </c>
      <c r="C74">
        <v>568309</v>
      </c>
      <c r="D74">
        <v>8396</v>
      </c>
      <c r="E74">
        <v>545312</v>
      </c>
      <c r="F74">
        <v>0.105414</v>
      </c>
      <c r="G74">
        <v>316704</v>
      </c>
      <c r="H74">
        <v>5.38287</v>
      </c>
      <c r="I74">
        <v>316332</v>
      </c>
      <c r="J74">
        <v>1.28035</v>
      </c>
      <c r="K74">
        <v>457</v>
      </c>
      <c r="L74">
        <v>0</v>
      </c>
      <c r="M74">
        <v>-1</v>
      </c>
      <c r="N74">
        <v>19</v>
      </c>
      <c r="O74">
        <v>0.129873</v>
      </c>
      <c r="P74">
        <v>51</v>
      </c>
      <c r="Q74">
        <v>600</v>
      </c>
      <c r="S74">
        <v>600</v>
      </c>
      <c r="T74">
        <f t="shared" si="2"/>
        <v>0</v>
      </c>
      <c r="U74">
        <f t="shared" si="3"/>
        <v>0</v>
      </c>
    </row>
    <row r="75" spans="1:21">
      <c r="A75" t="s">
        <v>132</v>
      </c>
      <c r="B75">
        <v>20453</v>
      </c>
      <c r="C75">
        <v>747604</v>
      </c>
      <c r="D75">
        <v>14557</v>
      </c>
      <c r="E75">
        <v>696736</v>
      </c>
      <c r="F75">
        <v>0.122647</v>
      </c>
      <c r="G75">
        <v>243279</v>
      </c>
      <c r="H75">
        <v>5.18947</v>
      </c>
      <c r="I75">
        <v>242924</v>
      </c>
      <c r="J75">
        <v>1.18938</v>
      </c>
      <c r="K75">
        <v>491</v>
      </c>
      <c r="L75">
        <v>0</v>
      </c>
      <c r="M75">
        <v>-1</v>
      </c>
      <c r="N75">
        <v>20</v>
      </c>
      <c r="O75">
        <v>0.128777</v>
      </c>
      <c r="P75">
        <v>51</v>
      </c>
      <c r="Q75">
        <v>600</v>
      </c>
      <c r="S75">
        <v>600</v>
      </c>
      <c r="T75">
        <f t="shared" si="2"/>
        <v>0</v>
      </c>
      <c r="U75">
        <f t="shared" si="3"/>
        <v>0</v>
      </c>
    </row>
    <row r="76" spans="1:21">
      <c r="A76" t="s">
        <v>133</v>
      </c>
      <c r="B76">
        <v>17206</v>
      </c>
      <c r="C76">
        <v>604867</v>
      </c>
      <c r="D76">
        <v>13968</v>
      </c>
      <c r="E76">
        <v>577744</v>
      </c>
      <c r="F76">
        <v>0.141581</v>
      </c>
      <c r="G76">
        <v>152776</v>
      </c>
      <c r="H76">
        <v>3.59508</v>
      </c>
      <c r="I76">
        <v>152417</v>
      </c>
      <c r="J76">
        <v>0.884568</v>
      </c>
      <c r="K76">
        <v>1222</v>
      </c>
      <c r="L76">
        <v>0</v>
      </c>
      <c r="M76">
        <v>-1</v>
      </c>
      <c r="N76">
        <v>18</v>
      </c>
      <c r="O76">
        <v>0.16958</v>
      </c>
      <c r="P76">
        <v>47</v>
      </c>
      <c r="Q76">
        <v>600</v>
      </c>
      <c r="S76">
        <v>600</v>
      </c>
      <c r="T76">
        <f t="shared" si="2"/>
        <v>0</v>
      </c>
      <c r="U76">
        <f t="shared" si="3"/>
        <v>0</v>
      </c>
    </row>
    <row r="77" spans="1:21">
      <c r="A77" t="s">
        <v>134</v>
      </c>
      <c r="B77">
        <v>14917</v>
      </c>
      <c r="C77">
        <v>482215</v>
      </c>
      <c r="D77">
        <v>10737</v>
      </c>
      <c r="E77">
        <v>442967</v>
      </c>
      <c r="F77">
        <v>0.091001</v>
      </c>
      <c r="G77">
        <v>117792</v>
      </c>
      <c r="H77">
        <v>2.97531</v>
      </c>
      <c r="I77">
        <v>117443</v>
      </c>
      <c r="J77">
        <v>1.60689</v>
      </c>
      <c r="K77">
        <v>1798</v>
      </c>
      <c r="L77">
        <v>0</v>
      </c>
      <c r="M77">
        <v>-1</v>
      </c>
      <c r="N77">
        <v>21</v>
      </c>
      <c r="O77">
        <v>0.094393</v>
      </c>
      <c r="P77">
        <v>47</v>
      </c>
      <c r="Q77">
        <v>600</v>
      </c>
      <c r="S77">
        <v>600</v>
      </c>
      <c r="T77">
        <f t="shared" si="2"/>
        <v>0</v>
      </c>
      <c r="U77">
        <f t="shared" si="3"/>
        <v>0</v>
      </c>
    </row>
    <row r="78" spans="1:21">
      <c r="A78" t="s">
        <v>135</v>
      </c>
      <c r="B78">
        <v>23831</v>
      </c>
      <c r="C78">
        <v>835946</v>
      </c>
      <c r="D78">
        <v>19683</v>
      </c>
      <c r="E78">
        <v>805574</v>
      </c>
      <c r="F78">
        <v>0.144569</v>
      </c>
      <c r="G78">
        <v>289575</v>
      </c>
      <c r="H78">
        <v>5.40395</v>
      </c>
      <c r="I78">
        <v>289204</v>
      </c>
      <c r="J78">
        <v>0.922025</v>
      </c>
      <c r="K78">
        <v>459</v>
      </c>
      <c r="L78">
        <v>0</v>
      </c>
      <c r="M78">
        <v>-1</v>
      </c>
      <c r="N78">
        <v>16</v>
      </c>
      <c r="O78" s="2">
        <v>0.150517</v>
      </c>
      <c r="P78">
        <v>37</v>
      </c>
      <c r="Q78">
        <v>600</v>
      </c>
      <c r="S78">
        <v>600</v>
      </c>
      <c r="T78">
        <f t="shared" si="2"/>
        <v>0</v>
      </c>
      <c r="U78">
        <f t="shared" si="3"/>
        <v>0</v>
      </c>
    </row>
    <row r="79" spans="1:21">
      <c r="A79" t="s">
        <v>136</v>
      </c>
      <c r="B79">
        <v>196591</v>
      </c>
      <c r="C79">
        <v>950327</v>
      </c>
      <c r="D79">
        <v>32590</v>
      </c>
      <c r="E79">
        <v>510745</v>
      </c>
      <c r="F79">
        <v>0.126768</v>
      </c>
      <c r="G79">
        <v>204307</v>
      </c>
      <c r="H79">
        <v>1.60323</v>
      </c>
      <c r="I79">
        <v>203987</v>
      </c>
      <c r="J79">
        <v>0.265401</v>
      </c>
      <c r="K79">
        <v>845</v>
      </c>
      <c r="L79">
        <v>0</v>
      </c>
      <c r="M79">
        <v>-1</v>
      </c>
      <c r="N79">
        <v>9</v>
      </c>
      <c r="O79" s="2">
        <v>0.169655</v>
      </c>
      <c r="P79">
        <v>28</v>
      </c>
      <c r="Q79">
        <v>600</v>
      </c>
      <c r="S79">
        <v>600</v>
      </c>
      <c r="T79">
        <f t="shared" si="2"/>
        <v>0</v>
      </c>
      <c r="U79">
        <f t="shared" si="3"/>
        <v>0</v>
      </c>
    </row>
    <row r="80" spans="1:21">
      <c r="A80" t="s">
        <v>137</v>
      </c>
      <c r="B80">
        <v>34</v>
      </c>
      <c r="C80">
        <v>78</v>
      </c>
      <c r="D80">
        <v>13</v>
      </c>
      <c r="E80">
        <v>33</v>
      </c>
      <c r="F80" s="3" t="s">
        <v>99</v>
      </c>
      <c r="G80">
        <v>14</v>
      </c>
      <c r="H80" s="3" t="s">
        <v>138</v>
      </c>
      <c r="I80">
        <v>14</v>
      </c>
      <c r="J80">
        <v>0.01007</v>
      </c>
      <c r="K80">
        <v>13</v>
      </c>
      <c r="L80">
        <v>2</v>
      </c>
      <c r="M80">
        <v>0.013129</v>
      </c>
      <c r="N80">
        <v>4</v>
      </c>
      <c r="O80" s="3" t="s">
        <v>99</v>
      </c>
      <c r="P80">
        <v>4</v>
      </c>
      <c r="Q80">
        <v>0.034498</v>
      </c>
      <c r="S80">
        <v>0.014555</v>
      </c>
      <c r="T80">
        <f t="shared" si="2"/>
        <v>1</v>
      </c>
      <c r="U80">
        <f t="shared" si="3"/>
        <v>0</v>
      </c>
    </row>
    <row r="81" spans="1:21">
      <c r="A81" t="s">
        <v>139</v>
      </c>
      <c r="B81">
        <v>70068</v>
      </c>
      <c r="C81">
        <v>358647</v>
      </c>
      <c r="D81">
        <v>20930</v>
      </c>
      <c r="E81">
        <v>277487</v>
      </c>
      <c r="F81">
        <v>0.069695</v>
      </c>
      <c r="G81">
        <v>53601</v>
      </c>
      <c r="H81">
        <v>0.814627</v>
      </c>
      <c r="I81">
        <v>53282</v>
      </c>
      <c r="J81">
        <v>0.226886</v>
      </c>
      <c r="K81">
        <v>3282</v>
      </c>
      <c r="L81">
        <v>0</v>
      </c>
      <c r="M81">
        <v>-1</v>
      </c>
      <c r="N81">
        <v>5</v>
      </c>
      <c r="O81">
        <v>0.059283</v>
      </c>
      <c r="P81">
        <v>18</v>
      </c>
      <c r="Q81">
        <v>600</v>
      </c>
      <c r="S81">
        <v>600</v>
      </c>
      <c r="T81">
        <f t="shared" si="2"/>
        <v>0</v>
      </c>
      <c r="U81">
        <f t="shared" si="3"/>
        <v>0</v>
      </c>
    </row>
    <row r="82" spans="1:21">
      <c r="A82" t="s">
        <v>140</v>
      </c>
      <c r="B82">
        <v>404719</v>
      </c>
      <c r="C82">
        <v>713319</v>
      </c>
      <c r="D82">
        <v>46489</v>
      </c>
      <c r="E82">
        <v>304864</v>
      </c>
      <c r="F82">
        <v>0.092547</v>
      </c>
      <c r="G82">
        <v>8866</v>
      </c>
      <c r="H82">
        <v>0.495006</v>
      </c>
      <c r="I82">
        <v>8509</v>
      </c>
      <c r="J82">
        <v>0.095933</v>
      </c>
      <c r="K82">
        <v>1072</v>
      </c>
      <c r="L82">
        <v>635</v>
      </c>
      <c r="M82">
        <v>10.614</v>
      </c>
      <c r="N82">
        <v>3</v>
      </c>
      <c r="O82">
        <v>0.102692</v>
      </c>
      <c r="P82">
        <v>3</v>
      </c>
      <c r="Q82">
        <v>11.7203</v>
      </c>
      <c r="S82">
        <v>6.93948</v>
      </c>
      <c r="T82">
        <f t="shared" si="2"/>
        <v>1</v>
      </c>
      <c r="U82">
        <f t="shared" si="3"/>
        <v>0</v>
      </c>
    </row>
    <row r="83" spans="1:21">
      <c r="A83" t="s">
        <v>141</v>
      </c>
      <c r="B83">
        <v>889</v>
      </c>
      <c r="C83">
        <v>2914</v>
      </c>
      <c r="D83">
        <v>326</v>
      </c>
      <c r="E83">
        <v>1765</v>
      </c>
      <c r="F83">
        <v>0.000258</v>
      </c>
      <c r="G83">
        <v>396</v>
      </c>
      <c r="H83">
        <v>0.001147</v>
      </c>
      <c r="I83">
        <v>101</v>
      </c>
      <c r="J83">
        <v>0.066241</v>
      </c>
      <c r="K83">
        <v>306</v>
      </c>
      <c r="L83">
        <v>34</v>
      </c>
      <c r="M83">
        <v>0.005814</v>
      </c>
      <c r="N83">
        <v>5</v>
      </c>
      <c r="O83">
        <v>0.000177</v>
      </c>
      <c r="P83">
        <v>6</v>
      </c>
      <c r="Q83">
        <v>0.074671</v>
      </c>
      <c r="S83">
        <v>0.068629</v>
      </c>
      <c r="T83">
        <f t="shared" si="2"/>
        <v>1</v>
      </c>
      <c r="U83">
        <f t="shared" si="3"/>
        <v>0</v>
      </c>
    </row>
    <row r="84" spans="1:21">
      <c r="A84" t="s">
        <v>142</v>
      </c>
      <c r="B84">
        <v>26475</v>
      </c>
      <c r="C84">
        <v>53381</v>
      </c>
      <c r="D84">
        <v>1360</v>
      </c>
      <c r="E84">
        <v>9794</v>
      </c>
      <c r="F84">
        <v>0.002949</v>
      </c>
      <c r="G84">
        <v>5553</v>
      </c>
      <c r="H84">
        <v>0.016732</v>
      </c>
      <c r="I84">
        <v>5421</v>
      </c>
      <c r="J84">
        <v>0.594389</v>
      </c>
      <c r="K84">
        <v>5643</v>
      </c>
      <c r="L84">
        <v>0</v>
      </c>
      <c r="M84">
        <v>-1</v>
      </c>
      <c r="N84">
        <v>5</v>
      </c>
      <c r="O84">
        <v>0.003387</v>
      </c>
      <c r="P84">
        <v>8</v>
      </c>
      <c r="Q84">
        <v>600</v>
      </c>
      <c r="S84">
        <v>600</v>
      </c>
      <c r="T84">
        <f t="shared" si="2"/>
        <v>0</v>
      </c>
      <c r="U84">
        <f t="shared" si="3"/>
        <v>0</v>
      </c>
    </row>
    <row r="85" spans="1:21">
      <c r="A85" t="s">
        <v>143</v>
      </c>
      <c r="B85">
        <v>40164</v>
      </c>
      <c r="C85">
        <v>85123</v>
      </c>
      <c r="D85">
        <v>4721</v>
      </c>
      <c r="E85">
        <v>26671</v>
      </c>
      <c r="F85">
        <v>0.007052</v>
      </c>
      <c r="G85">
        <v>14594</v>
      </c>
      <c r="H85">
        <v>0.054296</v>
      </c>
      <c r="I85">
        <v>14495</v>
      </c>
      <c r="J85">
        <v>0.202028</v>
      </c>
      <c r="K85">
        <v>6131</v>
      </c>
      <c r="L85">
        <v>0</v>
      </c>
      <c r="M85">
        <v>-1</v>
      </c>
      <c r="N85">
        <v>4</v>
      </c>
      <c r="O85">
        <v>0.006205</v>
      </c>
      <c r="P85">
        <v>8</v>
      </c>
      <c r="Q85">
        <v>600</v>
      </c>
      <c r="S85">
        <v>600</v>
      </c>
      <c r="T85">
        <f t="shared" si="2"/>
        <v>0</v>
      </c>
      <c r="U85">
        <f t="shared" si="3"/>
        <v>0</v>
      </c>
    </row>
    <row r="86" spans="1:21">
      <c r="A86" t="s">
        <v>144</v>
      </c>
      <c r="B86">
        <v>62561</v>
      </c>
      <c r="C86">
        <v>147878</v>
      </c>
      <c r="D86">
        <v>24443</v>
      </c>
      <c r="E86">
        <v>100454</v>
      </c>
      <c r="F86">
        <v>0.029199</v>
      </c>
      <c r="G86">
        <v>379</v>
      </c>
      <c r="H86">
        <v>0.047424</v>
      </c>
      <c r="I86">
        <v>90</v>
      </c>
      <c r="J86">
        <v>0.15034</v>
      </c>
      <c r="K86">
        <v>181</v>
      </c>
      <c r="L86">
        <v>16</v>
      </c>
      <c r="M86">
        <v>0.012957</v>
      </c>
      <c r="N86">
        <v>3</v>
      </c>
      <c r="O86">
        <v>0.02102</v>
      </c>
      <c r="P86">
        <v>3</v>
      </c>
      <c r="Q86">
        <v>0.329841</v>
      </c>
      <c r="S86">
        <v>0.147706</v>
      </c>
      <c r="T86">
        <f t="shared" si="2"/>
        <v>1</v>
      </c>
      <c r="U86">
        <f t="shared" si="3"/>
        <v>0</v>
      </c>
    </row>
    <row r="87" spans="1:21">
      <c r="A87" t="s">
        <v>145</v>
      </c>
      <c r="B87">
        <v>190914</v>
      </c>
      <c r="C87">
        <v>607610</v>
      </c>
      <c r="D87">
        <v>47992</v>
      </c>
      <c r="E87">
        <v>336097</v>
      </c>
      <c r="F87">
        <v>0.124851</v>
      </c>
      <c r="G87">
        <v>69189</v>
      </c>
      <c r="H87">
        <v>0.505435</v>
      </c>
      <c r="I87">
        <v>68891</v>
      </c>
      <c r="J87">
        <v>0.190059</v>
      </c>
      <c r="K87">
        <v>2272</v>
      </c>
      <c r="L87">
        <v>0</v>
      </c>
      <c r="M87">
        <v>-1</v>
      </c>
      <c r="N87">
        <v>5</v>
      </c>
      <c r="O87">
        <v>0.169766</v>
      </c>
      <c r="P87">
        <v>12</v>
      </c>
      <c r="Q87">
        <v>600</v>
      </c>
      <c r="S87">
        <v>600</v>
      </c>
      <c r="T87">
        <f t="shared" si="2"/>
        <v>0</v>
      </c>
      <c r="U87">
        <f t="shared" si="3"/>
        <v>0</v>
      </c>
    </row>
    <row r="88" spans="1:21">
      <c r="A88" t="s">
        <v>146</v>
      </c>
      <c r="B88">
        <v>2113</v>
      </c>
      <c r="C88">
        <v>6632</v>
      </c>
      <c r="D88">
        <v>104</v>
      </c>
      <c r="E88">
        <v>1047</v>
      </c>
      <c r="F88">
        <v>0.000273</v>
      </c>
      <c r="G88">
        <v>465</v>
      </c>
      <c r="H88">
        <v>0.001305</v>
      </c>
      <c r="I88">
        <v>465</v>
      </c>
      <c r="J88">
        <v>0.14489</v>
      </c>
      <c r="K88">
        <v>966</v>
      </c>
      <c r="L88">
        <v>61</v>
      </c>
      <c r="M88">
        <v>0.030648</v>
      </c>
      <c r="N88">
        <v>13</v>
      </c>
      <c r="O88">
        <v>0.000502</v>
      </c>
      <c r="P88">
        <v>13</v>
      </c>
      <c r="Q88">
        <v>0.179909</v>
      </c>
      <c r="S88">
        <v>0.135671</v>
      </c>
      <c r="T88">
        <f t="shared" si="2"/>
        <v>1</v>
      </c>
      <c r="U88">
        <f t="shared" si="3"/>
        <v>0</v>
      </c>
    </row>
    <row r="89" spans="1:21">
      <c r="A89" t="s">
        <v>147</v>
      </c>
      <c r="B89">
        <v>7476</v>
      </c>
      <c r="C89">
        <v>56943</v>
      </c>
      <c r="D89">
        <v>837</v>
      </c>
      <c r="E89">
        <v>33766</v>
      </c>
      <c r="F89">
        <v>0.007106</v>
      </c>
      <c r="G89">
        <v>27877</v>
      </c>
      <c r="H89">
        <v>0.390221</v>
      </c>
      <c r="I89">
        <v>27761</v>
      </c>
      <c r="J89">
        <v>2.82416</v>
      </c>
      <c r="K89">
        <v>9440</v>
      </c>
      <c r="L89">
        <v>0</v>
      </c>
      <c r="M89">
        <v>-1</v>
      </c>
      <c r="N89">
        <v>22</v>
      </c>
      <c r="O89" s="2">
        <v>0.007889</v>
      </c>
      <c r="P89">
        <v>43</v>
      </c>
      <c r="Q89">
        <v>600</v>
      </c>
      <c r="S89">
        <v>600</v>
      </c>
      <c r="T89">
        <f t="shared" si="2"/>
        <v>0</v>
      </c>
      <c r="U89">
        <f t="shared" si="3"/>
        <v>0</v>
      </c>
    </row>
    <row r="90" spans="1:21">
      <c r="A90" t="s">
        <v>148</v>
      </c>
      <c r="B90">
        <v>3031</v>
      </c>
      <c r="C90">
        <v>6474</v>
      </c>
      <c r="D90">
        <v>30</v>
      </c>
      <c r="E90">
        <v>435</v>
      </c>
      <c r="F90">
        <v>0.000139</v>
      </c>
      <c r="G90">
        <v>435</v>
      </c>
      <c r="H90">
        <v>0.001269</v>
      </c>
      <c r="I90">
        <v>435</v>
      </c>
      <c r="J90" s="3" t="s">
        <v>59</v>
      </c>
      <c r="K90">
        <v>32</v>
      </c>
      <c r="L90">
        <v>32</v>
      </c>
      <c r="M90">
        <v>0.057065</v>
      </c>
      <c r="N90">
        <v>25</v>
      </c>
      <c r="O90">
        <v>0.00044</v>
      </c>
      <c r="P90">
        <v>26</v>
      </c>
      <c r="Q90">
        <v>0.061405</v>
      </c>
      <c r="S90">
        <v>600</v>
      </c>
      <c r="T90">
        <f t="shared" si="2"/>
        <v>0</v>
      </c>
      <c r="U90">
        <f t="shared" si="3"/>
        <v>1</v>
      </c>
    </row>
    <row r="91" spans="1:21">
      <c r="A91" t="s">
        <v>150</v>
      </c>
      <c r="B91">
        <v>1299</v>
      </c>
      <c r="C91">
        <v>2773</v>
      </c>
      <c r="D91">
        <v>21</v>
      </c>
      <c r="E91">
        <v>174</v>
      </c>
      <c r="F91" s="3" t="s">
        <v>172</v>
      </c>
      <c r="G91">
        <v>170</v>
      </c>
      <c r="H91">
        <v>0.000346</v>
      </c>
      <c r="I91">
        <v>170</v>
      </c>
      <c r="J91">
        <v>0.021757</v>
      </c>
      <c r="K91">
        <v>195</v>
      </c>
      <c r="L91">
        <v>21</v>
      </c>
      <c r="M91">
        <v>0.015515</v>
      </c>
      <c r="N91">
        <v>16</v>
      </c>
      <c r="O91">
        <v>0.00028</v>
      </c>
      <c r="P91">
        <v>16</v>
      </c>
      <c r="Q91">
        <v>0.039318</v>
      </c>
      <c r="S91">
        <v>0.018968</v>
      </c>
      <c r="T91">
        <f t="shared" si="2"/>
        <v>1</v>
      </c>
      <c r="U91">
        <f t="shared" si="3"/>
        <v>0</v>
      </c>
    </row>
    <row r="92" spans="1:21">
      <c r="A92" t="s">
        <v>152</v>
      </c>
      <c r="B92">
        <v>11358</v>
      </c>
      <c r="C92">
        <v>47606</v>
      </c>
      <c r="D92">
        <v>168</v>
      </c>
      <c r="E92">
        <v>3490</v>
      </c>
      <c r="F92">
        <v>0.001991</v>
      </c>
      <c r="G92">
        <v>3488</v>
      </c>
      <c r="H92">
        <v>0.014435</v>
      </c>
      <c r="I92">
        <v>3488</v>
      </c>
      <c r="J92">
        <v>1.38172</v>
      </c>
      <c r="K92">
        <v>10409</v>
      </c>
      <c r="L92">
        <v>1422</v>
      </c>
      <c r="M92">
        <v>20.8215</v>
      </c>
      <c r="N92">
        <v>36</v>
      </c>
      <c r="O92" s="2">
        <v>0.003528</v>
      </c>
      <c r="P92">
        <v>36</v>
      </c>
      <c r="Q92">
        <v>22.2725</v>
      </c>
      <c r="S92">
        <v>32.1786</v>
      </c>
      <c r="T92">
        <f t="shared" si="2"/>
        <v>0</v>
      </c>
      <c r="U92">
        <f t="shared" si="3"/>
        <v>1</v>
      </c>
    </row>
    <row r="93" spans="1:21">
      <c r="A93" t="s">
        <v>153</v>
      </c>
      <c r="B93">
        <v>643</v>
      </c>
      <c r="C93">
        <v>2280</v>
      </c>
      <c r="D93">
        <v>138</v>
      </c>
      <c r="E93">
        <v>1020</v>
      </c>
      <c r="F93">
        <v>0.000157</v>
      </c>
      <c r="G93">
        <v>360</v>
      </c>
      <c r="H93">
        <v>0.000942</v>
      </c>
      <c r="I93">
        <v>239</v>
      </c>
      <c r="J93">
        <v>0.051515</v>
      </c>
      <c r="K93">
        <v>375</v>
      </c>
      <c r="L93">
        <v>79</v>
      </c>
      <c r="M93">
        <v>0.016213</v>
      </c>
      <c r="N93">
        <v>7</v>
      </c>
      <c r="O93" s="2">
        <v>0.000136</v>
      </c>
      <c r="P93">
        <v>8</v>
      </c>
      <c r="Q93">
        <v>0.075317</v>
      </c>
      <c r="S93">
        <v>0.056136</v>
      </c>
      <c r="T93">
        <f t="shared" si="2"/>
        <v>1</v>
      </c>
      <c r="U93">
        <f t="shared" si="3"/>
        <v>0</v>
      </c>
    </row>
    <row r="94" spans="1:21">
      <c r="A94" t="s">
        <v>154</v>
      </c>
      <c r="B94">
        <v>121422</v>
      </c>
      <c r="C94">
        <v>334419</v>
      </c>
      <c r="D94">
        <v>377</v>
      </c>
      <c r="E94">
        <v>14358</v>
      </c>
      <c r="F94">
        <v>0.00732</v>
      </c>
      <c r="G94">
        <v>14358</v>
      </c>
      <c r="H94">
        <v>0.073089</v>
      </c>
      <c r="I94">
        <v>14358</v>
      </c>
      <c r="J94">
        <v>5.10668</v>
      </c>
      <c r="K94">
        <v>19223</v>
      </c>
      <c r="L94">
        <v>0</v>
      </c>
      <c r="M94">
        <v>-1</v>
      </c>
      <c r="N94">
        <v>41</v>
      </c>
      <c r="O94">
        <v>0.032263</v>
      </c>
      <c r="P94">
        <v>50</v>
      </c>
      <c r="Q94">
        <v>600</v>
      </c>
      <c r="S94">
        <v>600</v>
      </c>
      <c r="T94">
        <f t="shared" si="2"/>
        <v>0</v>
      </c>
      <c r="U94">
        <f t="shared" si="3"/>
        <v>0</v>
      </c>
    </row>
    <row r="95" spans="1:21">
      <c r="A95" t="s">
        <v>155</v>
      </c>
      <c r="B95">
        <v>4767</v>
      </c>
      <c r="C95">
        <v>37375</v>
      </c>
      <c r="D95">
        <v>1665</v>
      </c>
      <c r="E95">
        <v>27505</v>
      </c>
      <c r="F95">
        <v>0.005489</v>
      </c>
      <c r="G95">
        <v>10506</v>
      </c>
      <c r="H95">
        <v>0.073957</v>
      </c>
      <c r="I95">
        <v>10183</v>
      </c>
      <c r="J95">
        <v>0.239853</v>
      </c>
      <c r="K95">
        <v>2593</v>
      </c>
      <c r="L95">
        <v>851</v>
      </c>
      <c r="M95">
        <v>25.6927</v>
      </c>
      <c r="N95">
        <v>10</v>
      </c>
      <c r="O95">
        <v>0.004146</v>
      </c>
      <c r="P95">
        <v>13</v>
      </c>
      <c r="Q95">
        <v>26.0355</v>
      </c>
      <c r="S95">
        <v>10.1181</v>
      </c>
      <c r="T95">
        <f t="shared" si="2"/>
        <v>1</v>
      </c>
      <c r="U95">
        <f t="shared" si="3"/>
        <v>0</v>
      </c>
    </row>
    <row r="96" spans="1:21">
      <c r="A96" t="s">
        <v>156</v>
      </c>
      <c r="B96">
        <v>16062</v>
      </c>
      <c r="C96">
        <v>25593</v>
      </c>
      <c r="D96">
        <v>62</v>
      </c>
      <c r="E96">
        <v>934</v>
      </c>
      <c r="F96">
        <v>0.000588</v>
      </c>
      <c r="G96">
        <v>934</v>
      </c>
      <c r="H96">
        <v>0.001707</v>
      </c>
      <c r="I96">
        <v>934</v>
      </c>
      <c r="J96">
        <v>0.226424</v>
      </c>
      <c r="K96">
        <v>1232</v>
      </c>
      <c r="L96">
        <v>175</v>
      </c>
      <c r="M96">
        <v>0.391504</v>
      </c>
      <c r="N96">
        <v>25</v>
      </c>
      <c r="O96">
        <v>0.001597</v>
      </c>
      <c r="P96">
        <v>25</v>
      </c>
      <c r="Q96">
        <v>0.628808</v>
      </c>
      <c r="S96">
        <v>0.250474</v>
      </c>
      <c r="T96">
        <f t="shared" si="2"/>
        <v>1</v>
      </c>
      <c r="U96">
        <f t="shared" si="3"/>
        <v>0</v>
      </c>
    </row>
    <row r="97" spans="17:21">
      <c r="Q97">
        <f>COUNT(Q2:Q96)-COUNTIF(Q2:Q96,"=600")</f>
        <v>63</v>
      </c>
      <c r="S97">
        <f>COUNT(S2:S96)-COUNTIF(S2:S96,"=600")</f>
        <v>62</v>
      </c>
      <c r="T97">
        <f>COUNTIF(T2:T96,"=1")</f>
        <v>52</v>
      </c>
      <c r="U97">
        <f>COUNTIF(U2:U96,"=1")</f>
        <v>11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67" workbookViewId="0">
      <selection activeCell="U67" sqref="U$1:U$104857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19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181</v>
      </c>
      <c r="E2">
        <v>1122</v>
      </c>
      <c r="F2">
        <v>0.000169</v>
      </c>
      <c r="G2">
        <v>439</v>
      </c>
      <c r="H2">
        <v>0.001005</v>
      </c>
      <c r="I2">
        <v>332</v>
      </c>
      <c r="J2">
        <v>0.067114</v>
      </c>
      <c r="K2">
        <v>666</v>
      </c>
      <c r="L2">
        <v>87</v>
      </c>
      <c r="M2">
        <v>0.00941</v>
      </c>
      <c r="N2">
        <v>6</v>
      </c>
      <c r="O2">
        <v>0.000126</v>
      </c>
      <c r="P2">
        <v>7</v>
      </c>
      <c r="Q2">
        <v>0.095445</v>
      </c>
      <c r="S2">
        <v>0.073753</v>
      </c>
      <c r="T2">
        <f t="shared" ref="T2:T65" si="0">IF(S2&lt;Q2,1,0)</f>
        <v>1</v>
      </c>
      <c r="U2">
        <f t="shared" ref="U2:U65" si="1">IF(Q2&lt;S2,1,0)</f>
        <v>0</v>
      </c>
    </row>
    <row r="3" spans="1:23">
      <c r="A3" t="s">
        <v>18</v>
      </c>
      <c r="B3">
        <v>516</v>
      </c>
      <c r="C3">
        <v>1188</v>
      </c>
      <c r="D3">
        <v>11</v>
      </c>
      <c r="E3">
        <v>55</v>
      </c>
      <c r="F3" s="3" t="s">
        <v>173</v>
      </c>
      <c r="G3">
        <v>55</v>
      </c>
      <c r="H3" s="3" t="s">
        <v>20</v>
      </c>
      <c r="I3">
        <v>55</v>
      </c>
      <c r="J3" s="3" t="s">
        <v>21</v>
      </c>
      <c r="K3">
        <v>1</v>
      </c>
      <c r="L3">
        <v>1</v>
      </c>
      <c r="M3">
        <v>0.021694</v>
      </c>
      <c r="N3">
        <v>10</v>
      </c>
      <c r="O3" s="3" t="s">
        <v>149</v>
      </c>
      <c r="P3">
        <v>10</v>
      </c>
      <c r="Q3">
        <v>0.023242</v>
      </c>
      <c r="S3">
        <v>0.013638</v>
      </c>
      <c r="T3">
        <f t="shared" si="0"/>
        <v>1</v>
      </c>
      <c r="U3">
        <f t="shared" si="1"/>
        <v>0</v>
      </c>
    </row>
    <row r="4" spans="1:23">
      <c r="A4" t="s">
        <v>22</v>
      </c>
      <c r="B4">
        <v>7393</v>
      </c>
      <c r="C4">
        <v>25569</v>
      </c>
      <c r="D4">
        <v>3997</v>
      </c>
      <c r="E4">
        <v>20948</v>
      </c>
      <c r="F4">
        <v>0.003534</v>
      </c>
      <c r="G4">
        <v>1373</v>
      </c>
      <c r="H4">
        <v>0.011657</v>
      </c>
      <c r="I4">
        <v>1037</v>
      </c>
      <c r="J4">
        <v>0.108626</v>
      </c>
      <c r="K4">
        <v>1350</v>
      </c>
      <c r="L4">
        <v>327</v>
      </c>
      <c r="M4">
        <v>0.185512</v>
      </c>
      <c r="N4">
        <v>3</v>
      </c>
      <c r="O4" s="2">
        <v>0.002048</v>
      </c>
      <c r="P4">
        <v>4</v>
      </c>
      <c r="Q4">
        <v>0.319917</v>
      </c>
      <c r="S4">
        <v>0.325288</v>
      </c>
      <c r="T4">
        <f t="shared" si="0"/>
        <v>0</v>
      </c>
      <c r="U4">
        <f t="shared" si="1"/>
        <v>1</v>
      </c>
    </row>
    <row r="5" spans="1:23">
      <c r="A5" t="s">
        <v>23</v>
      </c>
      <c r="B5">
        <v>1458</v>
      </c>
      <c r="C5">
        <v>1948</v>
      </c>
      <c r="D5">
        <v>6</v>
      </c>
      <c r="E5">
        <v>15</v>
      </c>
      <c r="F5" s="3" t="s">
        <v>24</v>
      </c>
      <c r="G5">
        <v>15</v>
      </c>
      <c r="H5" s="3" t="s">
        <v>25</v>
      </c>
      <c r="I5">
        <v>15</v>
      </c>
      <c r="J5">
        <v>0</v>
      </c>
      <c r="K5">
        <v>1</v>
      </c>
      <c r="L5">
        <v>1</v>
      </c>
      <c r="M5">
        <v>0.011854</v>
      </c>
      <c r="N5">
        <v>5</v>
      </c>
      <c r="O5">
        <v>0.000513</v>
      </c>
      <c r="P5">
        <v>5</v>
      </c>
      <c r="Q5">
        <v>0.014422</v>
      </c>
      <c r="S5">
        <v>0.01521</v>
      </c>
      <c r="T5">
        <f t="shared" si="0"/>
        <v>0</v>
      </c>
      <c r="U5">
        <f t="shared" si="1"/>
        <v>1</v>
      </c>
    </row>
    <row r="6" spans="1:23">
      <c r="A6" t="s">
        <v>26</v>
      </c>
      <c r="B6">
        <v>17903</v>
      </c>
      <c r="C6">
        <v>196972</v>
      </c>
      <c r="D6">
        <v>2039</v>
      </c>
      <c r="E6">
        <v>59628</v>
      </c>
      <c r="F6">
        <v>0.013896</v>
      </c>
      <c r="G6">
        <v>39206</v>
      </c>
      <c r="H6">
        <v>0.266211</v>
      </c>
      <c r="I6">
        <v>39193</v>
      </c>
      <c r="J6">
        <v>1.8416</v>
      </c>
      <c r="K6">
        <v>9517</v>
      </c>
      <c r="L6">
        <v>0</v>
      </c>
      <c r="M6">
        <v>-1</v>
      </c>
      <c r="N6">
        <v>32</v>
      </c>
      <c r="O6" s="2">
        <v>0.024859</v>
      </c>
      <c r="P6">
        <v>45</v>
      </c>
      <c r="Q6">
        <v>600</v>
      </c>
      <c r="S6">
        <v>600</v>
      </c>
      <c r="T6">
        <f t="shared" si="0"/>
        <v>0</v>
      </c>
      <c r="U6">
        <f t="shared" si="1"/>
        <v>0</v>
      </c>
    </row>
    <row r="7" spans="1:23">
      <c r="A7" t="s">
        <v>27</v>
      </c>
      <c r="B7">
        <v>227320</v>
      </c>
      <c r="C7">
        <v>814134</v>
      </c>
      <c r="D7">
        <v>3030</v>
      </c>
      <c r="E7">
        <v>71305</v>
      </c>
      <c r="F7">
        <v>0.027092</v>
      </c>
      <c r="G7">
        <v>68937</v>
      </c>
      <c r="H7">
        <v>0.232829</v>
      </c>
      <c r="I7">
        <v>68937</v>
      </c>
      <c r="J7">
        <v>1.94265</v>
      </c>
      <c r="K7">
        <v>4295</v>
      </c>
      <c r="L7">
        <v>0</v>
      </c>
      <c r="M7">
        <v>-1</v>
      </c>
      <c r="N7">
        <v>29</v>
      </c>
      <c r="O7">
        <v>0.105779</v>
      </c>
      <c r="P7">
        <v>62</v>
      </c>
      <c r="Q7">
        <v>600</v>
      </c>
      <c r="S7">
        <v>600</v>
      </c>
      <c r="T7">
        <f t="shared" si="0"/>
        <v>0</v>
      </c>
      <c r="U7">
        <f t="shared" si="1"/>
        <v>0</v>
      </c>
    </row>
    <row r="8" spans="1:23">
      <c r="A8" t="s">
        <v>28</v>
      </c>
      <c r="B8">
        <v>21363</v>
      </c>
      <c r="C8">
        <v>91286</v>
      </c>
      <c r="D8">
        <v>1328</v>
      </c>
      <c r="E8">
        <v>13353</v>
      </c>
      <c r="F8">
        <v>0.005168</v>
      </c>
      <c r="G8">
        <v>7215</v>
      </c>
      <c r="H8">
        <v>0.026592</v>
      </c>
      <c r="I8">
        <v>7201</v>
      </c>
      <c r="J8">
        <v>0.284594</v>
      </c>
      <c r="K8">
        <v>10742</v>
      </c>
      <c r="L8">
        <v>2236</v>
      </c>
      <c r="M8">
        <v>52.8135</v>
      </c>
      <c r="N8">
        <v>12</v>
      </c>
      <c r="O8" s="2">
        <v>0.012154</v>
      </c>
      <c r="P8">
        <v>13</v>
      </c>
      <c r="Q8">
        <v>53.1818</v>
      </c>
      <c r="S8">
        <v>43.3453</v>
      </c>
      <c r="T8">
        <f t="shared" si="0"/>
        <v>1</v>
      </c>
      <c r="U8">
        <f t="shared" si="1"/>
        <v>0</v>
      </c>
    </row>
    <row r="9" spans="1:23">
      <c r="A9" t="s">
        <v>29</v>
      </c>
      <c r="B9">
        <v>1882</v>
      </c>
      <c r="C9">
        <v>1740</v>
      </c>
      <c r="D9">
        <v>23</v>
      </c>
      <c r="E9">
        <v>14</v>
      </c>
      <c r="F9" s="3" t="s">
        <v>88</v>
      </c>
      <c r="G9">
        <v>0</v>
      </c>
      <c r="H9" s="3" t="s">
        <v>31</v>
      </c>
      <c r="I9">
        <v>0</v>
      </c>
      <c r="J9">
        <v>0</v>
      </c>
      <c r="K9">
        <v>0</v>
      </c>
      <c r="L9">
        <v>0</v>
      </c>
      <c r="M9">
        <v>0.002599</v>
      </c>
      <c r="N9">
        <v>3</v>
      </c>
      <c r="O9" s="2">
        <v>0.000139</v>
      </c>
      <c r="P9">
        <v>3</v>
      </c>
      <c r="Q9">
        <v>0.003397</v>
      </c>
      <c r="S9">
        <v>0.003099</v>
      </c>
      <c r="T9">
        <f t="shared" si="0"/>
        <v>1</v>
      </c>
      <c r="U9">
        <f t="shared" si="1"/>
        <v>0</v>
      </c>
    </row>
    <row r="10" spans="1:23">
      <c r="A10" t="s">
        <v>32</v>
      </c>
      <c r="B10">
        <v>226413</v>
      </c>
      <c r="C10">
        <v>716460</v>
      </c>
      <c r="D10">
        <v>2300</v>
      </c>
      <c r="E10">
        <v>45126</v>
      </c>
      <c r="F10">
        <v>0.023106</v>
      </c>
      <c r="G10">
        <v>44549</v>
      </c>
      <c r="H10">
        <v>0.118151</v>
      </c>
      <c r="I10">
        <v>44549</v>
      </c>
      <c r="J10">
        <v>1.51331</v>
      </c>
      <c r="K10">
        <v>3217</v>
      </c>
      <c r="L10">
        <v>0</v>
      </c>
      <c r="M10">
        <v>-1</v>
      </c>
      <c r="N10">
        <v>24</v>
      </c>
      <c r="O10">
        <v>0.112551</v>
      </c>
      <c r="P10">
        <v>48</v>
      </c>
      <c r="Q10">
        <v>600</v>
      </c>
      <c r="S10">
        <v>600</v>
      </c>
      <c r="T10">
        <f t="shared" si="0"/>
        <v>0</v>
      </c>
      <c r="U10">
        <f t="shared" si="1"/>
        <v>0</v>
      </c>
    </row>
    <row r="11" spans="1:23">
      <c r="A11" t="s">
        <v>33</v>
      </c>
      <c r="B11">
        <v>5094</v>
      </c>
      <c r="C11">
        <v>7515</v>
      </c>
      <c r="D11">
        <v>252</v>
      </c>
      <c r="E11">
        <v>1006</v>
      </c>
      <c r="F11">
        <v>0.000458</v>
      </c>
      <c r="G11">
        <v>131</v>
      </c>
      <c r="H11">
        <v>0.000806</v>
      </c>
      <c r="I11">
        <v>97</v>
      </c>
      <c r="J11">
        <v>0.12206</v>
      </c>
      <c r="K11">
        <v>395</v>
      </c>
      <c r="L11">
        <v>34</v>
      </c>
      <c r="M11">
        <v>0.01499</v>
      </c>
      <c r="N11">
        <v>5</v>
      </c>
      <c r="O11" s="2">
        <v>0.000806</v>
      </c>
      <c r="P11">
        <v>5</v>
      </c>
      <c r="Q11">
        <v>0.142342</v>
      </c>
      <c r="S11">
        <v>0.036881</v>
      </c>
      <c r="T11">
        <f t="shared" si="0"/>
        <v>1</v>
      </c>
      <c r="U11">
        <f t="shared" si="1"/>
        <v>0</v>
      </c>
    </row>
    <row r="12" spans="1:23">
      <c r="A12" t="s">
        <v>34</v>
      </c>
      <c r="B12">
        <v>4158</v>
      </c>
      <c r="C12">
        <v>13422</v>
      </c>
      <c r="D12">
        <v>115</v>
      </c>
      <c r="E12">
        <v>2186</v>
      </c>
      <c r="F12">
        <v>0.000412</v>
      </c>
      <c r="G12">
        <v>2186</v>
      </c>
      <c r="H12">
        <v>0.004684</v>
      </c>
      <c r="I12">
        <v>2186</v>
      </c>
      <c r="J12">
        <v>0.468683</v>
      </c>
      <c r="K12">
        <v>5025</v>
      </c>
      <c r="L12">
        <v>684</v>
      </c>
      <c r="M12">
        <v>3.54927</v>
      </c>
      <c r="N12">
        <v>33</v>
      </c>
      <c r="O12" s="2">
        <v>0.001017</v>
      </c>
      <c r="P12">
        <v>33</v>
      </c>
      <c r="Q12">
        <v>4.0361</v>
      </c>
      <c r="S12">
        <v>1.12155</v>
      </c>
      <c r="T12">
        <f t="shared" si="0"/>
        <v>1</v>
      </c>
      <c r="U12">
        <f t="shared" si="1"/>
        <v>0</v>
      </c>
    </row>
    <row r="13" spans="1:23">
      <c r="A13" t="s">
        <v>35</v>
      </c>
      <c r="B13">
        <v>11204</v>
      </c>
      <c r="C13">
        <v>117619</v>
      </c>
      <c r="D13">
        <v>239</v>
      </c>
      <c r="E13">
        <v>28441</v>
      </c>
      <c r="F13">
        <v>0.004933</v>
      </c>
      <c r="G13">
        <v>28441</v>
      </c>
      <c r="H13">
        <v>0.474988</v>
      </c>
      <c r="I13">
        <v>28441</v>
      </c>
      <c r="J13">
        <v>0.000529</v>
      </c>
      <c r="K13">
        <v>739</v>
      </c>
      <c r="L13">
        <v>0</v>
      </c>
      <c r="M13">
        <v>-1</v>
      </c>
      <c r="N13">
        <v>121</v>
      </c>
      <c r="O13">
        <v>0.023446</v>
      </c>
      <c r="P13">
        <v>169</v>
      </c>
      <c r="Q13">
        <v>600</v>
      </c>
      <c r="S13">
        <v>600</v>
      </c>
      <c r="T13">
        <f t="shared" si="0"/>
        <v>0</v>
      </c>
      <c r="U13">
        <f t="shared" si="1"/>
        <v>0</v>
      </c>
    </row>
    <row r="14" spans="1:23">
      <c r="A14" t="s">
        <v>36</v>
      </c>
      <c r="B14">
        <v>332689</v>
      </c>
      <c r="C14">
        <v>820644</v>
      </c>
      <c r="D14">
        <v>15806</v>
      </c>
      <c r="E14">
        <v>110272</v>
      </c>
      <c r="F14">
        <v>0.066756</v>
      </c>
      <c r="G14">
        <v>22255</v>
      </c>
      <c r="H14">
        <v>0.106306</v>
      </c>
      <c r="I14">
        <v>22193</v>
      </c>
      <c r="J14">
        <v>0.283856</v>
      </c>
      <c r="K14">
        <v>10766</v>
      </c>
      <c r="L14">
        <v>0</v>
      </c>
      <c r="M14">
        <v>-1</v>
      </c>
      <c r="N14">
        <v>8</v>
      </c>
      <c r="O14">
        <v>0.203278</v>
      </c>
      <c r="P14">
        <v>11</v>
      </c>
      <c r="Q14">
        <v>600</v>
      </c>
      <c r="S14">
        <v>600</v>
      </c>
      <c r="T14">
        <f t="shared" si="0"/>
        <v>0</v>
      </c>
      <c r="U14">
        <f t="shared" si="1"/>
        <v>0</v>
      </c>
    </row>
    <row r="15" spans="1:23">
      <c r="A15" t="s">
        <v>37</v>
      </c>
      <c r="B15">
        <v>379</v>
      </c>
      <c r="C15">
        <v>914</v>
      </c>
      <c r="D15">
        <v>9</v>
      </c>
      <c r="E15">
        <v>36</v>
      </c>
      <c r="F15" s="3" t="s">
        <v>38</v>
      </c>
      <c r="G15">
        <v>36</v>
      </c>
      <c r="H15" s="3" t="s">
        <v>39</v>
      </c>
      <c r="I15">
        <v>36</v>
      </c>
      <c r="J15" s="3" t="s">
        <v>40</v>
      </c>
      <c r="K15">
        <v>1</v>
      </c>
      <c r="L15">
        <v>1</v>
      </c>
      <c r="M15">
        <v>0.015271</v>
      </c>
      <c r="N15">
        <v>8</v>
      </c>
      <c r="O15" s="2">
        <v>7.1e-5</v>
      </c>
      <c r="P15">
        <v>8</v>
      </c>
      <c r="Q15">
        <v>0.036478</v>
      </c>
      <c r="S15">
        <v>0.013529</v>
      </c>
      <c r="T15">
        <f t="shared" si="0"/>
        <v>1</v>
      </c>
      <c r="U15">
        <f t="shared" si="1"/>
        <v>0</v>
      </c>
    </row>
    <row r="16" spans="1:23">
      <c r="A16" t="s">
        <v>42</v>
      </c>
      <c r="B16">
        <v>32430</v>
      </c>
      <c r="C16">
        <v>54397</v>
      </c>
      <c r="D16">
        <v>1542</v>
      </c>
      <c r="E16">
        <v>15930</v>
      </c>
      <c r="F16">
        <v>0.00314</v>
      </c>
      <c r="G16">
        <v>9773</v>
      </c>
      <c r="H16">
        <v>0.025397</v>
      </c>
      <c r="I16">
        <v>9625</v>
      </c>
      <c r="J16">
        <v>0.186416</v>
      </c>
      <c r="K16">
        <v>4765</v>
      </c>
      <c r="L16">
        <v>2431</v>
      </c>
      <c r="M16">
        <v>188.701</v>
      </c>
      <c r="N16">
        <v>5</v>
      </c>
      <c r="O16" s="2">
        <v>0.002856</v>
      </c>
      <c r="P16">
        <v>7</v>
      </c>
      <c r="Q16">
        <v>188.935</v>
      </c>
      <c r="S16">
        <v>498.124</v>
      </c>
      <c r="T16">
        <f t="shared" si="0"/>
        <v>0</v>
      </c>
      <c r="U16">
        <f t="shared" si="1"/>
        <v>1</v>
      </c>
    </row>
    <row r="17" spans="1:21">
      <c r="A17" t="s">
        <v>43</v>
      </c>
      <c r="B17">
        <v>1133</v>
      </c>
      <c r="C17">
        <v>5451</v>
      </c>
      <c r="D17">
        <v>588</v>
      </c>
      <c r="E17">
        <v>4048</v>
      </c>
      <c r="F17">
        <v>0.000759</v>
      </c>
      <c r="G17">
        <v>776</v>
      </c>
      <c r="H17">
        <v>0.003572</v>
      </c>
      <c r="I17">
        <v>459</v>
      </c>
      <c r="J17">
        <v>0.121029</v>
      </c>
      <c r="K17">
        <v>1726</v>
      </c>
      <c r="L17">
        <v>67</v>
      </c>
      <c r="M17">
        <v>0.035206</v>
      </c>
      <c r="N17">
        <v>6</v>
      </c>
      <c r="O17" s="2">
        <v>0.000414</v>
      </c>
      <c r="P17">
        <v>8</v>
      </c>
      <c r="Q17">
        <v>0.163317</v>
      </c>
      <c r="S17">
        <v>0.104152</v>
      </c>
      <c r="T17">
        <f t="shared" si="0"/>
        <v>1</v>
      </c>
      <c r="U17">
        <f t="shared" si="1"/>
        <v>0</v>
      </c>
    </row>
    <row r="18" spans="1:21">
      <c r="A18" t="s">
        <v>44</v>
      </c>
      <c r="B18">
        <v>33696</v>
      </c>
      <c r="C18">
        <v>180811</v>
      </c>
      <c r="D18">
        <v>6236</v>
      </c>
      <c r="E18">
        <v>111166</v>
      </c>
      <c r="F18">
        <v>0.02123</v>
      </c>
      <c r="G18">
        <v>79305</v>
      </c>
      <c r="H18">
        <v>0.374905</v>
      </c>
      <c r="I18">
        <v>79113</v>
      </c>
      <c r="J18">
        <v>0.277456</v>
      </c>
      <c r="K18">
        <v>3020</v>
      </c>
      <c r="L18">
        <v>0</v>
      </c>
      <c r="M18">
        <v>-1</v>
      </c>
      <c r="N18">
        <v>8</v>
      </c>
      <c r="O18" s="2">
        <v>0.016513</v>
      </c>
      <c r="P18">
        <v>15</v>
      </c>
      <c r="Q18">
        <v>600</v>
      </c>
      <c r="S18">
        <v>600</v>
      </c>
      <c r="T18">
        <f t="shared" si="0"/>
        <v>0</v>
      </c>
      <c r="U18">
        <f t="shared" si="1"/>
        <v>0</v>
      </c>
    </row>
    <row r="19" spans="1:21">
      <c r="A19" t="s">
        <v>45</v>
      </c>
      <c r="B19">
        <v>143</v>
      </c>
      <c r="C19">
        <v>623</v>
      </c>
      <c r="D19">
        <v>80</v>
      </c>
      <c r="E19">
        <v>442</v>
      </c>
      <c r="F19">
        <v>0.000103</v>
      </c>
      <c r="G19">
        <v>139</v>
      </c>
      <c r="H19">
        <v>0.000496</v>
      </c>
      <c r="I19">
        <v>107</v>
      </c>
      <c r="J19">
        <v>0.123984</v>
      </c>
      <c r="K19">
        <v>222</v>
      </c>
      <c r="L19">
        <v>27</v>
      </c>
      <c r="M19">
        <v>0.01864</v>
      </c>
      <c r="N19">
        <v>6</v>
      </c>
      <c r="O19" s="3" t="s">
        <v>174</v>
      </c>
      <c r="P19">
        <v>7</v>
      </c>
      <c r="Q19">
        <v>0.153389</v>
      </c>
      <c r="S19">
        <v>0.032751</v>
      </c>
      <c r="T19">
        <f t="shared" si="0"/>
        <v>1</v>
      </c>
      <c r="U19">
        <f t="shared" si="1"/>
        <v>0</v>
      </c>
    </row>
    <row r="20" spans="1:21">
      <c r="A20" t="s">
        <v>48</v>
      </c>
      <c r="B20">
        <v>1266</v>
      </c>
      <c r="C20">
        <v>6451</v>
      </c>
      <c r="D20">
        <v>761</v>
      </c>
      <c r="E20">
        <v>5580</v>
      </c>
      <c r="F20">
        <v>0.000854</v>
      </c>
      <c r="G20">
        <v>689</v>
      </c>
      <c r="H20">
        <v>0.004084</v>
      </c>
      <c r="I20">
        <v>141</v>
      </c>
      <c r="J20">
        <v>0.035884</v>
      </c>
      <c r="K20">
        <v>105</v>
      </c>
      <c r="L20">
        <v>8</v>
      </c>
      <c r="M20">
        <v>0.010397</v>
      </c>
      <c r="N20">
        <v>4</v>
      </c>
      <c r="O20">
        <v>0.000454</v>
      </c>
      <c r="P20">
        <v>4</v>
      </c>
      <c r="Q20">
        <v>0.054282</v>
      </c>
      <c r="S20">
        <v>0.041606</v>
      </c>
      <c r="T20">
        <f t="shared" si="0"/>
        <v>1</v>
      </c>
      <c r="U20">
        <f t="shared" si="1"/>
        <v>0</v>
      </c>
    </row>
    <row r="21" spans="1:21">
      <c r="A21" t="s">
        <v>49</v>
      </c>
      <c r="B21">
        <v>410</v>
      </c>
      <c r="C21">
        <v>2765</v>
      </c>
      <c r="D21">
        <v>122</v>
      </c>
      <c r="E21">
        <v>1134</v>
      </c>
      <c r="F21">
        <v>0.000303</v>
      </c>
      <c r="G21">
        <v>210</v>
      </c>
      <c r="H21">
        <v>0.002293</v>
      </c>
      <c r="I21">
        <v>162</v>
      </c>
      <c r="J21">
        <v>0.350284</v>
      </c>
      <c r="K21">
        <v>658</v>
      </c>
      <c r="L21">
        <v>21</v>
      </c>
      <c r="M21">
        <v>0.034781</v>
      </c>
      <c r="N21">
        <v>13</v>
      </c>
      <c r="O21">
        <v>0.000323</v>
      </c>
      <c r="P21">
        <v>13</v>
      </c>
      <c r="Q21">
        <v>0.414229</v>
      </c>
      <c r="S21">
        <v>0.081395</v>
      </c>
      <c r="T21">
        <f t="shared" si="0"/>
        <v>1</v>
      </c>
      <c r="U21">
        <f t="shared" si="1"/>
        <v>0</v>
      </c>
    </row>
    <row r="22" spans="1:21">
      <c r="A22" t="s">
        <v>51</v>
      </c>
      <c r="B22">
        <v>113</v>
      </c>
      <c r="C22">
        <v>2196</v>
      </c>
      <c r="D22">
        <v>112</v>
      </c>
      <c r="E22">
        <v>2195</v>
      </c>
      <c r="F22">
        <v>0.000298</v>
      </c>
      <c r="G22">
        <v>1842</v>
      </c>
      <c r="H22">
        <v>0.006394</v>
      </c>
      <c r="I22">
        <v>1706</v>
      </c>
      <c r="J22">
        <v>0.710435</v>
      </c>
      <c r="K22">
        <v>1008</v>
      </c>
      <c r="L22">
        <v>299</v>
      </c>
      <c r="M22">
        <v>0.061332</v>
      </c>
      <c r="N22">
        <v>11</v>
      </c>
      <c r="O22">
        <v>0.000206</v>
      </c>
      <c r="P22">
        <v>13</v>
      </c>
      <c r="Q22">
        <v>0.810192</v>
      </c>
      <c r="S22">
        <v>0.192185</v>
      </c>
      <c r="T22">
        <f t="shared" si="0"/>
        <v>1</v>
      </c>
      <c r="U22">
        <f t="shared" si="1"/>
        <v>0</v>
      </c>
    </row>
    <row r="23" spans="1:21">
      <c r="A23" t="s">
        <v>52</v>
      </c>
      <c r="B23">
        <v>6809</v>
      </c>
      <c r="C23">
        <v>7680</v>
      </c>
      <c r="D23">
        <v>228</v>
      </c>
      <c r="E23">
        <v>805</v>
      </c>
      <c r="F23">
        <v>0.000207</v>
      </c>
      <c r="G23">
        <v>196</v>
      </c>
      <c r="H23">
        <v>0.000281</v>
      </c>
      <c r="I23">
        <v>163</v>
      </c>
      <c r="J23">
        <v>0.045355</v>
      </c>
      <c r="K23">
        <v>492</v>
      </c>
      <c r="L23">
        <v>95</v>
      </c>
      <c r="M23">
        <v>0.01398</v>
      </c>
      <c r="N23">
        <v>3</v>
      </c>
      <c r="O23">
        <v>0.000275</v>
      </c>
      <c r="P23">
        <v>4</v>
      </c>
      <c r="Q23">
        <v>0.066424</v>
      </c>
      <c r="S23">
        <v>0.054739</v>
      </c>
      <c r="T23">
        <f t="shared" si="0"/>
        <v>1</v>
      </c>
      <c r="U23">
        <f t="shared" si="1"/>
        <v>0</v>
      </c>
    </row>
    <row r="24" spans="1:21">
      <c r="A24" t="s">
        <v>53</v>
      </c>
      <c r="B24">
        <v>92117</v>
      </c>
      <c r="C24">
        <v>360767</v>
      </c>
      <c r="D24">
        <v>19832</v>
      </c>
      <c r="E24">
        <v>264678</v>
      </c>
      <c r="F24">
        <v>0.050669</v>
      </c>
      <c r="G24">
        <v>139137</v>
      </c>
      <c r="H24">
        <v>0.894701</v>
      </c>
      <c r="I24">
        <v>138972</v>
      </c>
      <c r="J24">
        <v>0.207701</v>
      </c>
      <c r="K24">
        <v>1315</v>
      </c>
      <c r="L24">
        <v>0</v>
      </c>
      <c r="M24">
        <v>-1</v>
      </c>
      <c r="N24">
        <v>4</v>
      </c>
      <c r="O24">
        <v>0.044344</v>
      </c>
      <c r="P24">
        <v>14</v>
      </c>
      <c r="Q24">
        <v>600</v>
      </c>
      <c r="S24">
        <v>600</v>
      </c>
      <c r="T24">
        <f t="shared" si="0"/>
        <v>0</v>
      </c>
      <c r="U24">
        <f t="shared" si="1"/>
        <v>0</v>
      </c>
    </row>
    <row r="25" spans="1:21">
      <c r="A25" t="s">
        <v>54</v>
      </c>
      <c r="B25">
        <v>4941</v>
      </c>
      <c r="C25">
        <v>6594</v>
      </c>
      <c r="D25">
        <v>107</v>
      </c>
      <c r="E25">
        <v>199</v>
      </c>
      <c r="F25">
        <v>0.00021</v>
      </c>
      <c r="G25">
        <v>63</v>
      </c>
      <c r="H25" s="3" t="s">
        <v>175</v>
      </c>
      <c r="I25">
        <v>60</v>
      </c>
      <c r="J25">
        <v>0.01831</v>
      </c>
      <c r="K25">
        <v>146</v>
      </c>
      <c r="L25">
        <v>16</v>
      </c>
      <c r="M25">
        <v>0.032078</v>
      </c>
      <c r="N25">
        <v>4</v>
      </c>
      <c r="O25">
        <v>0.000476</v>
      </c>
      <c r="P25">
        <v>4</v>
      </c>
      <c r="Q25">
        <v>0.052831</v>
      </c>
      <c r="S25">
        <v>0.028391</v>
      </c>
      <c r="T25">
        <f t="shared" si="0"/>
        <v>1</v>
      </c>
      <c r="U25">
        <f t="shared" si="1"/>
        <v>0</v>
      </c>
    </row>
    <row r="26" spans="1:21">
      <c r="A26" t="s">
        <v>56</v>
      </c>
      <c r="B26">
        <v>91813</v>
      </c>
      <c r="C26">
        <v>125704</v>
      </c>
      <c r="D26">
        <v>114</v>
      </c>
      <c r="E26">
        <v>136</v>
      </c>
      <c r="F26">
        <v>0.005733</v>
      </c>
      <c r="G26">
        <v>0</v>
      </c>
      <c r="H26" s="3" t="s">
        <v>73</v>
      </c>
      <c r="I26">
        <v>0</v>
      </c>
      <c r="J26" s="3" t="s">
        <v>21</v>
      </c>
      <c r="K26">
        <v>0</v>
      </c>
      <c r="L26">
        <v>0</v>
      </c>
      <c r="M26">
        <v>0.001694</v>
      </c>
      <c r="N26">
        <v>5</v>
      </c>
      <c r="O26">
        <v>0.016865</v>
      </c>
      <c r="P26">
        <v>5</v>
      </c>
      <c r="Q26">
        <v>0.06971</v>
      </c>
      <c r="S26">
        <v>0.049972</v>
      </c>
      <c r="T26">
        <f t="shared" si="0"/>
        <v>1</v>
      </c>
      <c r="U26">
        <f t="shared" si="1"/>
        <v>0</v>
      </c>
    </row>
    <row r="27" spans="1:21">
      <c r="A27" t="s">
        <v>58</v>
      </c>
      <c r="B27">
        <v>96</v>
      </c>
      <c r="C27">
        <v>117</v>
      </c>
      <c r="D27">
        <v>16</v>
      </c>
      <c r="E27">
        <v>26</v>
      </c>
      <c r="F27" s="3" t="s">
        <v>79</v>
      </c>
      <c r="G27">
        <v>6</v>
      </c>
      <c r="H27" s="3" t="s">
        <v>162</v>
      </c>
      <c r="I27">
        <v>6</v>
      </c>
      <c r="J27">
        <v>0.015475</v>
      </c>
      <c r="K27">
        <v>13</v>
      </c>
      <c r="L27">
        <v>1</v>
      </c>
      <c r="M27">
        <v>0.013936</v>
      </c>
      <c r="N27">
        <v>3</v>
      </c>
      <c r="O27" s="3" t="s">
        <v>38</v>
      </c>
      <c r="P27">
        <v>3</v>
      </c>
      <c r="Q27">
        <v>0.037621</v>
      </c>
      <c r="S27">
        <v>0.020116</v>
      </c>
      <c r="T27">
        <f t="shared" si="0"/>
        <v>1</v>
      </c>
      <c r="U27">
        <f t="shared" si="1"/>
        <v>0</v>
      </c>
    </row>
    <row r="28" spans="1:21">
      <c r="A28" t="s">
        <v>61</v>
      </c>
      <c r="B28">
        <v>761</v>
      </c>
      <c r="C28">
        <v>1029</v>
      </c>
      <c r="D28">
        <v>51</v>
      </c>
      <c r="E28">
        <v>139</v>
      </c>
      <c r="F28" s="3" t="s">
        <v>62</v>
      </c>
      <c r="G28">
        <v>13</v>
      </c>
      <c r="H28" s="3" t="s">
        <v>88</v>
      </c>
      <c r="I28">
        <v>0</v>
      </c>
      <c r="J28" s="3" t="s">
        <v>85</v>
      </c>
      <c r="K28">
        <v>0</v>
      </c>
      <c r="L28">
        <v>0</v>
      </c>
      <c r="M28">
        <v>0.003484</v>
      </c>
      <c r="N28">
        <v>4</v>
      </c>
      <c r="O28" s="3" t="s">
        <v>176</v>
      </c>
      <c r="P28">
        <v>4</v>
      </c>
      <c r="Q28">
        <v>0.00413</v>
      </c>
      <c r="S28">
        <v>0.00327</v>
      </c>
      <c r="T28">
        <f t="shared" si="0"/>
        <v>1</v>
      </c>
      <c r="U28">
        <f t="shared" si="1"/>
        <v>0</v>
      </c>
    </row>
    <row r="29" spans="1:21">
      <c r="A29" t="s">
        <v>64</v>
      </c>
      <c r="B29">
        <v>146</v>
      </c>
      <c r="C29">
        <v>9828</v>
      </c>
      <c r="D29">
        <v>134</v>
      </c>
      <c r="E29">
        <v>8770</v>
      </c>
      <c r="F29">
        <v>0.001091</v>
      </c>
      <c r="G29">
        <v>8770</v>
      </c>
      <c r="H29">
        <v>0.110568</v>
      </c>
      <c r="I29">
        <v>8770</v>
      </c>
      <c r="J29">
        <v>1.8677</v>
      </c>
      <c r="K29">
        <v>3039</v>
      </c>
      <c r="L29">
        <v>299</v>
      </c>
      <c r="M29">
        <v>6.29958</v>
      </c>
      <c r="N29">
        <v>110</v>
      </c>
      <c r="O29">
        <v>0.002272</v>
      </c>
      <c r="P29">
        <v>110</v>
      </c>
      <c r="Q29">
        <v>8.55955</v>
      </c>
      <c r="S29">
        <v>10.5617</v>
      </c>
      <c r="T29">
        <f t="shared" si="0"/>
        <v>0</v>
      </c>
      <c r="U29">
        <f t="shared" si="1"/>
        <v>1</v>
      </c>
    </row>
    <row r="30" spans="1:21">
      <c r="A30" t="s">
        <v>65</v>
      </c>
      <c r="B30">
        <v>488</v>
      </c>
      <c r="C30">
        <v>71011</v>
      </c>
      <c r="D30">
        <v>386</v>
      </c>
      <c r="E30">
        <v>65503</v>
      </c>
      <c r="F30">
        <v>0.009034</v>
      </c>
      <c r="G30">
        <v>-1</v>
      </c>
      <c r="H30">
        <v>2.46472</v>
      </c>
      <c r="I30">
        <v>-1</v>
      </c>
      <c r="J30">
        <v>-1</v>
      </c>
      <c r="K30">
        <v>0</v>
      </c>
      <c r="L30">
        <v>0</v>
      </c>
      <c r="M30">
        <v>-1</v>
      </c>
      <c r="N30">
        <v>193</v>
      </c>
      <c r="O30">
        <v>0.055068</v>
      </c>
      <c r="P30">
        <v>193</v>
      </c>
      <c r="Q30">
        <v>600</v>
      </c>
      <c r="S30">
        <v>600</v>
      </c>
      <c r="T30">
        <f t="shared" si="0"/>
        <v>0</v>
      </c>
      <c r="U30">
        <f t="shared" si="1"/>
        <v>0</v>
      </c>
    </row>
    <row r="31" spans="1:21">
      <c r="A31" t="s">
        <v>66</v>
      </c>
      <c r="B31">
        <v>1303</v>
      </c>
      <c r="C31">
        <v>531893</v>
      </c>
      <c r="D31">
        <v>1200</v>
      </c>
      <c r="E31">
        <v>523785</v>
      </c>
      <c r="F31">
        <v>0.08643</v>
      </c>
      <c r="G31">
        <v>523785</v>
      </c>
      <c r="H31">
        <v>71.7997</v>
      </c>
      <c r="I31">
        <v>523785</v>
      </c>
      <c r="J31">
        <v>281.348</v>
      </c>
      <c r="K31">
        <v>600</v>
      </c>
      <c r="L31">
        <v>0</v>
      </c>
      <c r="M31">
        <v>-1</v>
      </c>
      <c r="N31">
        <v>280</v>
      </c>
      <c r="O31">
        <v>1.34457</v>
      </c>
      <c r="P31">
        <v>280</v>
      </c>
      <c r="Q31">
        <v>600</v>
      </c>
      <c r="S31">
        <v>600</v>
      </c>
      <c r="T31">
        <f t="shared" si="0"/>
        <v>0</v>
      </c>
      <c r="U31">
        <f t="shared" si="1"/>
        <v>0</v>
      </c>
    </row>
    <row r="32" spans="1:21">
      <c r="A32" t="s">
        <v>67</v>
      </c>
      <c r="B32">
        <v>10972</v>
      </c>
      <c r="C32">
        <v>175573</v>
      </c>
      <c r="D32">
        <v>1351</v>
      </c>
      <c r="E32">
        <v>47683</v>
      </c>
      <c r="F32">
        <v>0.011229</v>
      </c>
      <c r="G32">
        <v>45314</v>
      </c>
      <c r="H32">
        <v>0.400823</v>
      </c>
      <c r="I32">
        <v>45314</v>
      </c>
      <c r="J32">
        <v>5.59717</v>
      </c>
      <c r="K32">
        <v>4411</v>
      </c>
      <c r="L32">
        <v>0</v>
      </c>
      <c r="M32">
        <v>-1</v>
      </c>
      <c r="N32">
        <v>45</v>
      </c>
      <c r="O32">
        <v>0.035165</v>
      </c>
      <c r="P32">
        <v>73</v>
      </c>
      <c r="Q32">
        <v>600</v>
      </c>
      <c r="S32">
        <v>600</v>
      </c>
      <c r="T32">
        <f t="shared" si="0"/>
        <v>0</v>
      </c>
      <c r="U32">
        <f t="shared" si="1"/>
        <v>0</v>
      </c>
    </row>
    <row r="33" spans="1:21">
      <c r="A33" t="s">
        <v>68</v>
      </c>
      <c r="B33">
        <v>113</v>
      </c>
      <c r="C33">
        <v>6222</v>
      </c>
      <c r="D33">
        <v>107</v>
      </c>
      <c r="E33">
        <v>5669</v>
      </c>
      <c r="F33">
        <v>0.000649</v>
      </c>
      <c r="G33">
        <v>5669</v>
      </c>
      <c r="H33">
        <v>0.039499</v>
      </c>
      <c r="I33">
        <v>5669</v>
      </c>
      <c r="J33">
        <v>0.000128</v>
      </c>
      <c r="K33">
        <v>24</v>
      </c>
      <c r="L33">
        <v>24</v>
      </c>
      <c r="M33">
        <v>0.844979</v>
      </c>
      <c r="N33">
        <v>99</v>
      </c>
      <c r="O33">
        <v>0.000893</v>
      </c>
      <c r="P33">
        <v>99</v>
      </c>
      <c r="Q33">
        <v>0.915644</v>
      </c>
      <c r="S33">
        <v>0.891548</v>
      </c>
      <c r="T33">
        <f t="shared" si="0"/>
        <v>1</v>
      </c>
      <c r="U33">
        <f t="shared" si="1"/>
        <v>0</v>
      </c>
    </row>
    <row r="34" spans="1:21">
      <c r="A34" t="s">
        <v>69</v>
      </c>
      <c r="B34">
        <v>1206</v>
      </c>
      <c r="C34">
        <v>65990</v>
      </c>
      <c r="D34">
        <v>457</v>
      </c>
      <c r="E34">
        <v>50253</v>
      </c>
      <c r="F34">
        <v>0.007887</v>
      </c>
      <c r="G34">
        <v>48104</v>
      </c>
      <c r="H34">
        <v>1.25499</v>
      </c>
      <c r="I34">
        <v>48086</v>
      </c>
      <c r="J34">
        <v>172.886</v>
      </c>
      <c r="K34">
        <v>7346</v>
      </c>
      <c r="L34">
        <v>0</v>
      </c>
      <c r="M34">
        <v>-1</v>
      </c>
      <c r="N34">
        <v>95</v>
      </c>
      <c r="O34">
        <v>0.02592</v>
      </c>
      <c r="P34">
        <v>144</v>
      </c>
      <c r="Q34">
        <v>600</v>
      </c>
      <c r="S34">
        <v>600</v>
      </c>
      <c r="T34">
        <f t="shared" si="0"/>
        <v>0</v>
      </c>
      <c r="U34">
        <f t="shared" si="1"/>
        <v>0</v>
      </c>
    </row>
    <row r="35" spans="1:21">
      <c r="A35" t="s">
        <v>70</v>
      </c>
      <c r="B35">
        <v>17151</v>
      </c>
      <c r="C35">
        <v>24015</v>
      </c>
      <c r="D35">
        <v>156</v>
      </c>
      <c r="E35">
        <v>1420</v>
      </c>
      <c r="F35">
        <v>0.00093</v>
      </c>
      <c r="G35">
        <v>1203</v>
      </c>
      <c r="H35">
        <v>0.002101</v>
      </c>
      <c r="I35">
        <v>1202</v>
      </c>
      <c r="J35">
        <v>0.57452</v>
      </c>
      <c r="K35">
        <v>3395</v>
      </c>
      <c r="L35">
        <v>380</v>
      </c>
      <c r="M35">
        <v>0.609362</v>
      </c>
      <c r="N35">
        <v>11</v>
      </c>
      <c r="O35" s="2">
        <v>0.002411</v>
      </c>
      <c r="P35">
        <v>12</v>
      </c>
      <c r="Q35">
        <v>1.19719</v>
      </c>
      <c r="S35">
        <v>0.598666</v>
      </c>
      <c r="T35">
        <f t="shared" si="0"/>
        <v>1</v>
      </c>
      <c r="U35">
        <f t="shared" si="1"/>
        <v>0</v>
      </c>
    </row>
    <row r="36" spans="1:21">
      <c r="A36" t="s">
        <v>71</v>
      </c>
      <c r="B36">
        <v>72</v>
      </c>
      <c r="C36">
        <v>355</v>
      </c>
      <c r="D36">
        <v>18</v>
      </c>
      <c r="E36">
        <v>150</v>
      </c>
      <c r="F36" s="3" t="s">
        <v>38</v>
      </c>
      <c r="G36">
        <v>150</v>
      </c>
      <c r="H36">
        <v>0.000168</v>
      </c>
      <c r="I36">
        <v>150</v>
      </c>
      <c r="J36" s="3" t="s">
        <v>72</v>
      </c>
      <c r="K36">
        <v>1</v>
      </c>
      <c r="L36">
        <v>1</v>
      </c>
      <c r="M36">
        <v>0.01878</v>
      </c>
      <c r="N36">
        <v>15</v>
      </c>
      <c r="O36" s="3" t="s">
        <v>20</v>
      </c>
      <c r="P36">
        <v>15</v>
      </c>
      <c r="Q36">
        <v>0.026776</v>
      </c>
      <c r="S36">
        <v>0.011983</v>
      </c>
      <c r="T36">
        <f t="shared" si="0"/>
        <v>1</v>
      </c>
      <c r="U36">
        <f t="shared" si="1"/>
        <v>0</v>
      </c>
    </row>
    <row r="37" spans="1:21">
      <c r="A37" t="s">
        <v>74</v>
      </c>
      <c r="B37">
        <v>34</v>
      </c>
      <c r="C37">
        <v>96</v>
      </c>
      <c r="D37">
        <v>12</v>
      </c>
      <c r="E37">
        <v>53</v>
      </c>
      <c r="F37" s="3" t="s">
        <v>55</v>
      </c>
      <c r="G37">
        <v>53</v>
      </c>
      <c r="H37" s="3" t="s">
        <v>177</v>
      </c>
      <c r="I37">
        <v>53</v>
      </c>
      <c r="J37">
        <v>0.014809</v>
      </c>
      <c r="K37">
        <v>26</v>
      </c>
      <c r="L37">
        <v>5</v>
      </c>
      <c r="M37">
        <v>0.017638</v>
      </c>
      <c r="N37">
        <v>7</v>
      </c>
      <c r="O37" s="2">
        <v>1.1e-5</v>
      </c>
      <c r="P37">
        <v>7</v>
      </c>
      <c r="Q37">
        <v>0.043733</v>
      </c>
      <c r="S37">
        <v>0.009969</v>
      </c>
      <c r="T37">
        <f t="shared" si="0"/>
        <v>1</v>
      </c>
      <c r="U37">
        <f t="shared" si="1"/>
        <v>0</v>
      </c>
    </row>
    <row r="38" spans="1:21">
      <c r="A38" t="s">
        <v>78</v>
      </c>
      <c r="B38">
        <v>72</v>
      </c>
      <c r="C38">
        <v>129</v>
      </c>
      <c r="D38">
        <v>12</v>
      </c>
      <c r="E38">
        <v>53</v>
      </c>
      <c r="F38" s="3" t="s">
        <v>55</v>
      </c>
      <c r="G38">
        <v>35</v>
      </c>
      <c r="H38" s="3" t="s">
        <v>167</v>
      </c>
      <c r="I38">
        <v>35</v>
      </c>
      <c r="J38">
        <v>0.007847</v>
      </c>
      <c r="K38">
        <v>14</v>
      </c>
      <c r="L38">
        <v>2</v>
      </c>
      <c r="M38">
        <v>0.005589</v>
      </c>
      <c r="N38">
        <v>7</v>
      </c>
      <c r="O38" s="3" t="s">
        <v>77</v>
      </c>
      <c r="P38">
        <v>7</v>
      </c>
      <c r="Q38">
        <v>0.022191</v>
      </c>
      <c r="S38">
        <v>0.010416</v>
      </c>
      <c r="T38">
        <f t="shared" si="0"/>
        <v>1</v>
      </c>
      <c r="U38">
        <f t="shared" si="1"/>
        <v>0</v>
      </c>
    </row>
    <row r="39" spans="1:21">
      <c r="A39" t="s">
        <v>80</v>
      </c>
      <c r="B39">
        <v>80</v>
      </c>
      <c r="C39">
        <v>226</v>
      </c>
      <c r="D39">
        <v>18</v>
      </c>
      <c r="E39">
        <v>103</v>
      </c>
      <c r="F39" s="3" t="s">
        <v>102</v>
      </c>
      <c r="G39">
        <v>80</v>
      </c>
      <c r="H39" s="3" t="s">
        <v>89</v>
      </c>
      <c r="I39">
        <v>80</v>
      </c>
      <c r="J39">
        <v>0.006098</v>
      </c>
      <c r="K39">
        <v>39</v>
      </c>
      <c r="L39">
        <v>9</v>
      </c>
      <c r="M39">
        <v>0.004453</v>
      </c>
      <c r="N39">
        <v>8</v>
      </c>
      <c r="O39" s="3" t="s">
        <v>102</v>
      </c>
      <c r="P39">
        <v>9</v>
      </c>
      <c r="Q39">
        <v>0.018641</v>
      </c>
      <c r="S39">
        <v>0.079472</v>
      </c>
      <c r="T39">
        <f t="shared" si="0"/>
        <v>0</v>
      </c>
      <c r="U39">
        <f t="shared" si="1"/>
        <v>1</v>
      </c>
    </row>
    <row r="40" spans="1:21">
      <c r="A40" t="s">
        <v>82</v>
      </c>
      <c r="B40">
        <v>34</v>
      </c>
      <c r="C40">
        <v>41</v>
      </c>
      <c r="D40">
        <v>6</v>
      </c>
      <c r="E40">
        <v>14</v>
      </c>
      <c r="F40" s="3" t="s">
        <v>72</v>
      </c>
      <c r="G40">
        <v>14</v>
      </c>
      <c r="H40" s="3" t="s">
        <v>25</v>
      </c>
      <c r="I40">
        <v>14</v>
      </c>
      <c r="J40" s="3" t="s">
        <v>21</v>
      </c>
      <c r="K40">
        <v>2</v>
      </c>
      <c r="L40">
        <v>2</v>
      </c>
      <c r="M40">
        <v>0.036098</v>
      </c>
      <c r="N40">
        <v>4</v>
      </c>
      <c r="O40" s="3" t="s">
        <v>31</v>
      </c>
      <c r="P40">
        <v>4</v>
      </c>
      <c r="Q40">
        <v>0.064702</v>
      </c>
      <c r="S40">
        <v>0.015517</v>
      </c>
      <c r="T40">
        <f t="shared" si="0"/>
        <v>1</v>
      </c>
      <c r="U40">
        <f t="shared" si="1"/>
        <v>0</v>
      </c>
    </row>
    <row r="41" spans="1:21">
      <c r="A41" t="s">
        <v>86</v>
      </c>
      <c r="B41">
        <v>31</v>
      </c>
      <c r="C41">
        <v>39</v>
      </c>
      <c r="D41">
        <v>6</v>
      </c>
      <c r="E41">
        <v>15</v>
      </c>
      <c r="F41" s="3" t="s">
        <v>85</v>
      </c>
      <c r="G41">
        <v>15</v>
      </c>
      <c r="H41" s="3" t="s">
        <v>79</v>
      </c>
      <c r="I41">
        <v>15</v>
      </c>
      <c r="J41" s="3" t="s">
        <v>40</v>
      </c>
      <c r="K41">
        <v>1</v>
      </c>
      <c r="L41">
        <v>1</v>
      </c>
      <c r="M41">
        <v>0.014895</v>
      </c>
      <c r="N41">
        <v>5</v>
      </c>
      <c r="O41" s="2">
        <v>1.1e-5</v>
      </c>
      <c r="P41">
        <v>5</v>
      </c>
      <c r="Q41">
        <v>0.021103</v>
      </c>
      <c r="S41">
        <v>0.01255</v>
      </c>
      <c r="T41">
        <f t="shared" si="0"/>
        <v>1</v>
      </c>
      <c r="U41">
        <f t="shared" si="1"/>
        <v>0</v>
      </c>
    </row>
    <row r="42" spans="1:21">
      <c r="A42" t="s">
        <v>87</v>
      </c>
      <c r="B42">
        <v>135</v>
      </c>
      <c r="C42">
        <v>1078</v>
      </c>
      <c r="D42">
        <v>37</v>
      </c>
      <c r="E42">
        <v>511</v>
      </c>
      <c r="F42" s="3" t="s">
        <v>178</v>
      </c>
      <c r="G42">
        <v>486</v>
      </c>
      <c r="H42">
        <v>0.001183</v>
      </c>
      <c r="I42">
        <v>486</v>
      </c>
      <c r="J42">
        <v>0.078451</v>
      </c>
      <c r="K42">
        <v>107</v>
      </c>
      <c r="L42">
        <v>11</v>
      </c>
      <c r="M42">
        <v>0.074719</v>
      </c>
      <c r="N42">
        <v>20</v>
      </c>
      <c r="O42" s="2">
        <v>0.000102</v>
      </c>
      <c r="P42">
        <v>20</v>
      </c>
      <c r="Q42">
        <v>0.17773</v>
      </c>
      <c r="S42">
        <v>0.03629</v>
      </c>
      <c r="T42">
        <f t="shared" si="0"/>
        <v>1</v>
      </c>
      <c r="U42">
        <f t="shared" si="1"/>
        <v>0</v>
      </c>
    </row>
    <row r="43" spans="1:21">
      <c r="A43" t="s">
        <v>90</v>
      </c>
      <c r="B43">
        <v>13</v>
      </c>
      <c r="C43">
        <v>7</v>
      </c>
      <c r="D43">
        <v>1</v>
      </c>
      <c r="E43">
        <v>0</v>
      </c>
      <c r="F43" s="3" t="s">
        <v>40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0.002926</v>
      </c>
      <c r="N43">
        <v>2</v>
      </c>
      <c r="O43" s="3" t="s">
        <v>83</v>
      </c>
      <c r="P43">
        <v>2</v>
      </c>
      <c r="Q43">
        <v>0.009482</v>
      </c>
      <c r="S43">
        <v>0.005788</v>
      </c>
      <c r="T43">
        <f t="shared" si="0"/>
        <v>1</v>
      </c>
      <c r="U43">
        <f t="shared" si="1"/>
        <v>0</v>
      </c>
    </row>
    <row r="44" spans="1:21">
      <c r="A44" t="s">
        <v>92</v>
      </c>
      <c r="B44">
        <v>5</v>
      </c>
      <c r="C44">
        <v>6</v>
      </c>
      <c r="D44">
        <v>4</v>
      </c>
      <c r="E44">
        <v>5</v>
      </c>
      <c r="F44" s="3" t="s">
        <v>83</v>
      </c>
      <c r="G44">
        <v>5</v>
      </c>
      <c r="H44" s="3" t="s">
        <v>85</v>
      </c>
      <c r="I44">
        <v>5</v>
      </c>
      <c r="J44" s="3" t="s">
        <v>40</v>
      </c>
      <c r="K44">
        <v>2</v>
      </c>
      <c r="L44">
        <v>2</v>
      </c>
      <c r="M44">
        <v>0.023528</v>
      </c>
      <c r="N44">
        <v>2</v>
      </c>
      <c r="O44" s="3" t="s">
        <v>31</v>
      </c>
      <c r="P44">
        <v>2</v>
      </c>
      <c r="Q44">
        <v>0.032934</v>
      </c>
      <c r="S44">
        <v>0.010501</v>
      </c>
      <c r="T44">
        <f t="shared" si="0"/>
        <v>1</v>
      </c>
      <c r="U44">
        <f t="shared" si="1"/>
        <v>0</v>
      </c>
    </row>
    <row r="45" spans="1:21">
      <c r="A45" t="s">
        <v>93</v>
      </c>
      <c r="B45">
        <v>22</v>
      </c>
      <c r="C45">
        <v>12</v>
      </c>
      <c r="D45">
        <v>2</v>
      </c>
      <c r="E45">
        <v>1</v>
      </c>
      <c r="F45" s="3" t="s">
        <v>91</v>
      </c>
      <c r="G45">
        <v>0</v>
      </c>
      <c r="H45" s="3" t="s">
        <v>40</v>
      </c>
      <c r="I45">
        <v>0</v>
      </c>
      <c r="J45">
        <v>0</v>
      </c>
      <c r="K45">
        <v>0</v>
      </c>
      <c r="L45">
        <v>0</v>
      </c>
      <c r="M45">
        <v>0.006504</v>
      </c>
      <c r="N45">
        <v>2</v>
      </c>
      <c r="O45" s="2">
        <v>5e-6</v>
      </c>
      <c r="P45">
        <v>2</v>
      </c>
      <c r="Q45">
        <v>0.028476</v>
      </c>
      <c r="S45">
        <v>0.006493</v>
      </c>
      <c r="T45">
        <f t="shared" si="0"/>
        <v>1</v>
      </c>
      <c r="U45">
        <f t="shared" si="1"/>
        <v>0</v>
      </c>
    </row>
    <row r="46" spans="1:21">
      <c r="A46" t="s">
        <v>94</v>
      </c>
      <c r="B46">
        <v>62</v>
      </c>
      <c r="C46">
        <v>442</v>
      </c>
      <c r="D46">
        <v>22</v>
      </c>
      <c r="E46">
        <v>207</v>
      </c>
      <c r="F46" s="3" t="s">
        <v>157</v>
      </c>
      <c r="G46">
        <v>168</v>
      </c>
      <c r="H46">
        <v>0.000357</v>
      </c>
      <c r="I46">
        <v>168</v>
      </c>
      <c r="J46">
        <v>0.014157</v>
      </c>
      <c r="K46">
        <v>29</v>
      </c>
      <c r="L46">
        <v>2</v>
      </c>
      <c r="M46">
        <v>0.021262</v>
      </c>
      <c r="N46">
        <v>16</v>
      </c>
      <c r="O46" s="3" t="s">
        <v>179</v>
      </c>
      <c r="P46">
        <v>16</v>
      </c>
      <c r="Q46">
        <v>0.044846</v>
      </c>
      <c r="S46">
        <v>0.017499</v>
      </c>
      <c r="T46">
        <f t="shared" si="0"/>
        <v>1</v>
      </c>
      <c r="U46">
        <f t="shared" si="1"/>
        <v>0</v>
      </c>
    </row>
    <row r="47" spans="1:21">
      <c r="A47" t="s">
        <v>96</v>
      </c>
      <c r="B47">
        <v>21</v>
      </c>
      <c r="C47">
        <v>23</v>
      </c>
      <c r="D47">
        <v>6</v>
      </c>
      <c r="E47">
        <v>15</v>
      </c>
      <c r="F47" s="3" t="s">
        <v>83</v>
      </c>
      <c r="G47">
        <v>15</v>
      </c>
      <c r="H47" s="3" t="s">
        <v>55</v>
      </c>
      <c r="I47">
        <v>15</v>
      </c>
      <c r="J47" s="3" t="s">
        <v>40</v>
      </c>
      <c r="K47">
        <v>1</v>
      </c>
      <c r="L47">
        <v>1</v>
      </c>
      <c r="M47">
        <v>0.031205</v>
      </c>
      <c r="N47">
        <v>5</v>
      </c>
      <c r="O47" s="3" t="s">
        <v>31</v>
      </c>
      <c r="P47">
        <v>5</v>
      </c>
      <c r="Q47">
        <v>0.042695</v>
      </c>
      <c r="S47">
        <v>0.008713</v>
      </c>
      <c r="T47">
        <f t="shared" si="0"/>
        <v>1</v>
      </c>
      <c r="U47">
        <f t="shared" si="1"/>
        <v>0</v>
      </c>
    </row>
    <row r="48" spans="1:21">
      <c r="A48" t="s">
        <v>97</v>
      </c>
      <c r="B48">
        <v>10</v>
      </c>
      <c r="C48">
        <v>5</v>
      </c>
      <c r="D48">
        <v>0</v>
      </c>
      <c r="E48">
        <v>0</v>
      </c>
      <c r="F48" s="3" t="s">
        <v>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0.002531</v>
      </c>
      <c r="N48">
        <v>2</v>
      </c>
      <c r="O48" s="2">
        <v>3e-6</v>
      </c>
      <c r="P48">
        <v>2</v>
      </c>
      <c r="Q48">
        <v>0.007498</v>
      </c>
      <c r="S48">
        <v>0.005338</v>
      </c>
      <c r="T48">
        <f t="shared" si="0"/>
        <v>1</v>
      </c>
      <c r="U48">
        <f t="shared" si="1"/>
        <v>0</v>
      </c>
    </row>
    <row r="49" spans="1:21">
      <c r="A49" t="s">
        <v>98</v>
      </c>
      <c r="B49">
        <v>27</v>
      </c>
      <c r="C49">
        <v>26</v>
      </c>
      <c r="D49">
        <v>12</v>
      </c>
      <c r="E49">
        <v>16</v>
      </c>
      <c r="F49" s="3" t="s">
        <v>83</v>
      </c>
      <c r="G49">
        <v>13</v>
      </c>
      <c r="H49" s="3" t="s">
        <v>99</v>
      </c>
      <c r="I49">
        <v>10</v>
      </c>
      <c r="J49">
        <v>0.014613</v>
      </c>
      <c r="K49">
        <v>2</v>
      </c>
      <c r="L49">
        <v>2</v>
      </c>
      <c r="M49">
        <v>0.019557</v>
      </c>
      <c r="N49">
        <v>2</v>
      </c>
      <c r="O49" s="3" t="s">
        <v>31</v>
      </c>
      <c r="P49">
        <v>3</v>
      </c>
      <c r="Q49">
        <v>0.044599</v>
      </c>
      <c r="S49">
        <v>0.011463</v>
      </c>
      <c r="T49">
        <f t="shared" si="0"/>
        <v>1</v>
      </c>
      <c r="U49">
        <f t="shared" si="1"/>
        <v>0</v>
      </c>
    </row>
    <row r="50" spans="1:21">
      <c r="A50" t="s">
        <v>100</v>
      </c>
      <c r="B50">
        <v>273</v>
      </c>
      <c r="C50">
        <v>4510</v>
      </c>
      <c r="D50">
        <v>98</v>
      </c>
      <c r="E50">
        <v>2781</v>
      </c>
      <c r="F50">
        <v>0.000352</v>
      </c>
      <c r="G50">
        <v>2753</v>
      </c>
      <c r="H50">
        <v>0.010884</v>
      </c>
      <c r="I50">
        <v>2753</v>
      </c>
      <c r="J50">
        <v>0.832774</v>
      </c>
      <c r="K50">
        <v>2074</v>
      </c>
      <c r="L50">
        <v>99</v>
      </c>
      <c r="M50">
        <v>0.331573</v>
      </c>
      <c r="N50">
        <v>30</v>
      </c>
      <c r="O50" s="2">
        <v>0.000616</v>
      </c>
      <c r="P50">
        <v>37</v>
      </c>
      <c r="Q50">
        <v>1.19091</v>
      </c>
      <c r="S50">
        <v>0.976105</v>
      </c>
      <c r="T50">
        <f t="shared" si="0"/>
        <v>1</v>
      </c>
      <c r="U50">
        <f t="shared" si="1"/>
        <v>0</v>
      </c>
    </row>
    <row r="51" spans="1:21">
      <c r="A51" t="s">
        <v>101</v>
      </c>
      <c r="B51">
        <v>102</v>
      </c>
      <c r="C51">
        <v>108</v>
      </c>
      <c r="D51">
        <v>11</v>
      </c>
      <c r="E51">
        <v>33</v>
      </c>
      <c r="F51" s="3" t="s">
        <v>25</v>
      </c>
      <c r="G51">
        <v>33</v>
      </c>
      <c r="H51" s="3" t="s">
        <v>114</v>
      </c>
      <c r="I51">
        <v>33</v>
      </c>
      <c r="J51">
        <v>0.005622</v>
      </c>
      <c r="K51">
        <v>9</v>
      </c>
      <c r="L51">
        <v>3</v>
      </c>
      <c r="M51">
        <v>0.020547</v>
      </c>
      <c r="N51">
        <v>4</v>
      </c>
      <c r="O51" s="2">
        <v>1.3e-5</v>
      </c>
      <c r="P51">
        <v>5</v>
      </c>
      <c r="Q51">
        <v>0.0317</v>
      </c>
      <c r="S51">
        <v>0.013234</v>
      </c>
      <c r="T51">
        <f t="shared" si="0"/>
        <v>1</v>
      </c>
      <c r="U51">
        <f t="shared" si="1"/>
        <v>0</v>
      </c>
    </row>
    <row r="52" spans="1:21">
      <c r="A52" t="s">
        <v>103</v>
      </c>
      <c r="B52">
        <v>8</v>
      </c>
      <c r="C52">
        <v>4</v>
      </c>
      <c r="D52">
        <v>0</v>
      </c>
      <c r="E52">
        <v>0</v>
      </c>
      <c r="F52" s="3" t="s">
        <v>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0.002244</v>
      </c>
      <c r="N52">
        <v>2</v>
      </c>
      <c r="O52" s="3" t="s">
        <v>40</v>
      </c>
      <c r="P52">
        <v>2</v>
      </c>
      <c r="Q52">
        <v>0.010954</v>
      </c>
      <c r="S52">
        <v>0.004806</v>
      </c>
      <c r="T52">
        <f t="shared" si="0"/>
        <v>1</v>
      </c>
      <c r="U52">
        <f t="shared" si="1"/>
        <v>0</v>
      </c>
    </row>
    <row r="53" spans="1:21">
      <c r="A53" t="s">
        <v>104</v>
      </c>
      <c r="B53">
        <v>55</v>
      </c>
      <c r="C53">
        <v>60</v>
      </c>
      <c r="D53">
        <v>8</v>
      </c>
      <c r="E53">
        <v>20</v>
      </c>
      <c r="F53" s="3" t="s">
        <v>85</v>
      </c>
      <c r="G53">
        <v>10</v>
      </c>
      <c r="H53" s="3" t="s">
        <v>77</v>
      </c>
      <c r="I53">
        <v>10</v>
      </c>
      <c r="J53">
        <v>0.006589</v>
      </c>
      <c r="K53">
        <v>7</v>
      </c>
      <c r="L53">
        <v>1</v>
      </c>
      <c r="M53">
        <v>0.011753</v>
      </c>
      <c r="N53">
        <v>4</v>
      </c>
      <c r="O53" s="2">
        <v>9e-6</v>
      </c>
      <c r="P53">
        <v>4</v>
      </c>
      <c r="Q53">
        <v>0.02527</v>
      </c>
      <c r="S53">
        <v>0.011329</v>
      </c>
      <c r="T53">
        <f t="shared" si="0"/>
        <v>1</v>
      </c>
      <c r="U53">
        <f t="shared" si="1"/>
        <v>0</v>
      </c>
    </row>
    <row r="54" spans="1:21">
      <c r="A54" t="s">
        <v>105</v>
      </c>
      <c r="B54">
        <v>127</v>
      </c>
      <c r="C54">
        <v>931</v>
      </c>
      <c r="D54">
        <v>38</v>
      </c>
      <c r="E54">
        <v>449</v>
      </c>
      <c r="F54" s="3" t="s">
        <v>180</v>
      </c>
      <c r="G54">
        <v>408</v>
      </c>
      <c r="H54">
        <v>0.000767</v>
      </c>
      <c r="I54">
        <v>408</v>
      </c>
      <c r="J54">
        <v>0.042315</v>
      </c>
      <c r="K54">
        <v>144</v>
      </c>
      <c r="L54">
        <v>15</v>
      </c>
      <c r="M54">
        <v>0.012801</v>
      </c>
      <c r="N54">
        <v>16</v>
      </c>
      <c r="O54" s="3" t="s">
        <v>151</v>
      </c>
      <c r="P54">
        <v>17</v>
      </c>
      <c r="Q54">
        <v>0.063161</v>
      </c>
      <c r="S54">
        <v>0.033722</v>
      </c>
      <c r="T54">
        <f t="shared" si="0"/>
        <v>1</v>
      </c>
      <c r="U54">
        <f t="shared" si="1"/>
        <v>0</v>
      </c>
    </row>
    <row r="55" spans="1:21">
      <c r="A55" t="s">
        <v>107</v>
      </c>
      <c r="B55">
        <v>16</v>
      </c>
      <c r="C55">
        <v>13</v>
      </c>
      <c r="D55">
        <v>5</v>
      </c>
      <c r="E55">
        <v>5</v>
      </c>
      <c r="F55" s="3" t="s">
        <v>91</v>
      </c>
      <c r="G55">
        <v>5</v>
      </c>
      <c r="H55" s="3" t="s">
        <v>72</v>
      </c>
      <c r="I55">
        <v>5</v>
      </c>
      <c r="J55">
        <v>0</v>
      </c>
      <c r="K55">
        <v>2</v>
      </c>
      <c r="L55">
        <v>2</v>
      </c>
      <c r="M55">
        <v>0.02824</v>
      </c>
      <c r="N55">
        <v>2</v>
      </c>
      <c r="O55" s="2">
        <v>4e-6</v>
      </c>
      <c r="P55">
        <v>2</v>
      </c>
      <c r="Q55">
        <v>0.033706</v>
      </c>
      <c r="S55">
        <v>0.012673</v>
      </c>
      <c r="T55">
        <f t="shared" si="0"/>
        <v>1</v>
      </c>
      <c r="U55">
        <f t="shared" si="1"/>
        <v>0</v>
      </c>
    </row>
    <row r="56" spans="1:21">
      <c r="A56" t="s">
        <v>108</v>
      </c>
      <c r="B56">
        <v>35</v>
      </c>
      <c r="C56">
        <v>368</v>
      </c>
      <c r="D56">
        <v>27</v>
      </c>
      <c r="E56">
        <v>351</v>
      </c>
      <c r="F56" s="3" t="s">
        <v>181</v>
      </c>
      <c r="G56">
        <v>351</v>
      </c>
      <c r="H56">
        <v>0.000537</v>
      </c>
      <c r="I56">
        <v>351</v>
      </c>
      <c r="J56" s="3" t="s">
        <v>85</v>
      </c>
      <c r="K56">
        <v>1</v>
      </c>
      <c r="L56">
        <v>1</v>
      </c>
      <c r="M56">
        <v>0.029701</v>
      </c>
      <c r="N56">
        <v>26</v>
      </c>
      <c r="O56" s="2">
        <v>2.4e-5</v>
      </c>
      <c r="P56">
        <v>26</v>
      </c>
      <c r="Q56">
        <v>0.038815</v>
      </c>
      <c r="S56">
        <v>0.016449</v>
      </c>
      <c r="T56">
        <f t="shared" si="0"/>
        <v>1</v>
      </c>
      <c r="U56">
        <f t="shared" si="1"/>
        <v>0</v>
      </c>
    </row>
    <row r="57" spans="1:21">
      <c r="A57" t="s">
        <v>109</v>
      </c>
      <c r="B57">
        <v>26</v>
      </c>
      <c r="C57">
        <v>15</v>
      </c>
      <c r="D57">
        <v>3</v>
      </c>
      <c r="E57">
        <v>1</v>
      </c>
      <c r="F57" s="3" t="s">
        <v>91</v>
      </c>
      <c r="G57">
        <v>0</v>
      </c>
      <c r="H57" s="3" t="s">
        <v>91</v>
      </c>
      <c r="I57">
        <v>0</v>
      </c>
      <c r="J57">
        <v>0</v>
      </c>
      <c r="K57">
        <v>0</v>
      </c>
      <c r="L57">
        <v>0</v>
      </c>
      <c r="M57">
        <v>0.002997</v>
      </c>
      <c r="N57">
        <v>2</v>
      </c>
      <c r="O57" s="3" t="s">
        <v>31</v>
      </c>
      <c r="P57">
        <v>2</v>
      </c>
      <c r="Q57">
        <v>0.008556</v>
      </c>
      <c r="S57">
        <v>0.004915</v>
      </c>
      <c r="T57">
        <f t="shared" si="0"/>
        <v>1</v>
      </c>
      <c r="U57">
        <f t="shared" si="1"/>
        <v>0</v>
      </c>
    </row>
    <row r="58" spans="1:21">
      <c r="A58" t="s">
        <v>110</v>
      </c>
      <c r="B58">
        <v>14</v>
      </c>
      <c r="C58">
        <v>11</v>
      </c>
      <c r="D58">
        <v>5</v>
      </c>
      <c r="E58">
        <v>3</v>
      </c>
      <c r="F58" s="3" t="s">
        <v>40</v>
      </c>
      <c r="G58">
        <v>3</v>
      </c>
      <c r="H58" s="3" t="s">
        <v>91</v>
      </c>
      <c r="I58">
        <v>3</v>
      </c>
      <c r="J58">
        <v>0</v>
      </c>
      <c r="K58">
        <v>1</v>
      </c>
      <c r="L58">
        <v>1</v>
      </c>
      <c r="M58">
        <v>0.021462</v>
      </c>
      <c r="N58">
        <v>2</v>
      </c>
      <c r="O58" s="3" t="s">
        <v>72</v>
      </c>
      <c r="P58">
        <v>2</v>
      </c>
      <c r="Q58">
        <v>0.029273</v>
      </c>
      <c r="S58">
        <v>0.014131</v>
      </c>
      <c r="T58">
        <f t="shared" si="0"/>
        <v>1</v>
      </c>
      <c r="U58">
        <f t="shared" si="1"/>
        <v>0</v>
      </c>
    </row>
    <row r="59" spans="1:21">
      <c r="A59" t="s">
        <v>111</v>
      </c>
      <c r="B59">
        <v>28</v>
      </c>
      <c r="C59">
        <v>91</v>
      </c>
      <c r="D59">
        <v>12</v>
      </c>
      <c r="E59">
        <v>55</v>
      </c>
      <c r="F59" s="3" t="s">
        <v>79</v>
      </c>
      <c r="G59">
        <v>55</v>
      </c>
      <c r="H59" s="3" t="s">
        <v>182</v>
      </c>
      <c r="I59">
        <v>55</v>
      </c>
      <c r="J59">
        <v>0.007791</v>
      </c>
      <c r="K59">
        <v>25</v>
      </c>
      <c r="L59">
        <v>4</v>
      </c>
      <c r="M59">
        <v>0.011647</v>
      </c>
      <c r="N59">
        <v>7</v>
      </c>
      <c r="O59" s="3" t="s">
        <v>60</v>
      </c>
      <c r="P59">
        <v>7</v>
      </c>
      <c r="Q59">
        <v>0.026802</v>
      </c>
      <c r="S59">
        <v>0.008085</v>
      </c>
      <c r="T59">
        <f t="shared" si="0"/>
        <v>1</v>
      </c>
      <c r="U59">
        <f t="shared" si="1"/>
        <v>0</v>
      </c>
    </row>
    <row r="60" spans="1:21">
      <c r="A60" t="s">
        <v>115</v>
      </c>
      <c r="B60">
        <v>26</v>
      </c>
      <c r="C60">
        <v>18</v>
      </c>
      <c r="D60">
        <v>6</v>
      </c>
      <c r="E60">
        <v>6</v>
      </c>
      <c r="F60" s="3" t="s">
        <v>91</v>
      </c>
      <c r="G60">
        <v>5</v>
      </c>
      <c r="H60" s="3" t="s">
        <v>72</v>
      </c>
      <c r="I60">
        <v>4</v>
      </c>
      <c r="J60">
        <v>0.004767</v>
      </c>
      <c r="K60">
        <v>1</v>
      </c>
      <c r="L60">
        <v>1</v>
      </c>
      <c r="M60">
        <v>0.011398</v>
      </c>
      <c r="N60">
        <v>2</v>
      </c>
      <c r="O60" s="2">
        <v>5e-6</v>
      </c>
      <c r="P60">
        <v>2</v>
      </c>
      <c r="Q60">
        <v>0.027101</v>
      </c>
      <c r="S60">
        <v>0.034903</v>
      </c>
      <c r="T60">
        <f t="shared" si="0"/>
        <v>0</v>
      </c>
      <c r="U60">
        <f t="shared" si="1"/>
        <v>1</v>
      </c>
    </row>
    <row r="61" spans="1:21">
      <c r="A61" t="s">
        <v>116</v>
      </c>
      <c r="B61">
        <v>13</v>
      </c>
      <c r="C61">
        <v>8</v>
      </c>
      <c r="D61">
        <v>2</v>
      </c>
      <c r="E61">
        <v>1</v>
      </c>
      <c r="F61" s="3" t="s">
        <v>91</v>
      </c>
      <c r="G61">
        <v>0</v>
      </c>
      <c r="H61" s="3" t="s">
        <v>91</v>
      </c>
      <c r="I61">
        <v>0</v>
      </c>
      <c r="J61">
        <v>0</v>
      </c>
      <c r="K61">
        <v>0</v>
      </c>
      <c r="L61">
        <v>0</v>
      </c>
      <c r="M61">
        <v>0.003346</v>
      </c>
      <c r="N61">
        <v>2</v>
      </c>
      <c r="O61" s="2">
        <v>6e-6</v>
      </c>
      <c r="P61">
        <v>2</v>
      </c>
      <c r="Q61">
        <v>0.009514</v>
      </c>
      <c r="S61">
        <v>0.007205</v>
      </c>
      <c r="T61">
        <f t="shared" si="0"/>
        <v>1</v>
      </c>
      <c r="U61">
        <f t="shared" si="1"/>
        <v>0</v>
      </c>
    </row>
    <row r="62" spans="1:21">
      <c r="A62" t="s">
        <v>117</v>
      </c>
      <c r="B62">
        <v>18</v>
      </c>
      <c r="C62">
        <v>12</v>
      </c>
      <c r="D62">
        <v>5</v>
      </c>
      <c r="E62">
        <v>3</v>
      </c>
      <c r="F62" s="3" t="s">
        <v>91</v>
      </c>
      <c r="G62">
        <v>3</v>
      </c>
      <c r="H62" s="3" t="s">
        <v>72</v>
      </c>
      <c r="I62">
        <v>3</v>
      </c>
      <c r="J62" s="3" t="s">
        <v>21</v>
      </c>
      <c r="K62">
        <v>1</v>
      </c>
      <c r="L62">
        <v>1</v>
      </c>
      <c r="M62">
        <v>0.013108</v>
      </c>
      <c r="N62">
        <v>2</v>
      </c>
      <c r="O62" s="2">
        <v>5e-6</v>
      </c>
      <c r="P62">
        <v>2</v>
      </c>
      <c r="Q62">
        <v>0.020279</v>
      </c>
      <c r="S62">
        <v>0.01033</v>
      </c>
      <c r="T62">
        <f t="shared" si="0"/>
        <v>1</v>
      </c>
      <c r="U62">
        <f t="shared" si="1"/>
        <v>0</v>
      </c>
    </row>
    <row r="63" spans="1:21">
      <c r="A63" t="s">
        <v>118</v>
      </c>
      <c r="B63">
        <v>7</v>
      </c>
      <c r="C63">
        <v>5</v>
      </c>
      <c r="D63">
        <v>3</v>
      </c>
      <c r="E63">
        <v>3</v>
      </c>
      <c r="F63" s="3" t="s">
        <v>40</v>
      </c>
      <c r="G63">
        <v>3</v>
      </c>
      <c r="H63" s="3" t="s">
        <v>72</v>
      </c>
      <c r="I63">
        <v>3</v>
      </c>
      <c r="J63">
        <v>0</v>
      </c>
      <c r="K63">
        <v>1</v>
      </c>
      <c r="L63">
        <v>1</v>
      </c>
      <c r="M63">
        <v>0.025259</v>
      </c>
      <c r="N63">
        <v>2</v>
      </c>
      <c r="O63" s="2">
        <v>3e-6</v>
      </c>
      <c r="P63">
        <v>2</v>
      </c>
      <c r="Q63">
        <v>0.032412</v>
      </c>
      <c r="S63">
        <v>0.016359</v>
      </c>
      <c r="T63">
        <f t="shared" si="0"/>
        <v>1</v>
      </c>
      <c r="U63">
        <f t="shared" si="1"/>
        <v>0</v>
      </c>
    </row>
    <row r="64" spans="1:21">
      <c r="A64" t="s">
        <v>119</v>
      </c>
      <c r="B64">
        <v>2623</v>
      </c>
      <c r="C64">
        <v>473614</v>
      </c>
      <c r="D64">
        <v>1260</v>
      </c>
      <c r="E64">
        <v>449592</v>
      </c>
      <c r="F64">
        <v>0.070142</v>
      </c>
      <c r="G64">
        <v>-1</v>
      </c>
      <c r="H64">
        <v>50.5985</v>
      </c>
      <c r="I64">
        <v>-1</v>
      </c>
      <c r="J64">
        <v>-1</v>
      </c>
      <c r="K64">
        <v>0</v>
      </c>
      <c r="L64">
        <v>0</v>
      </c>
      <c r="M64">
        <v>-1</v>
      </c>
      <c r="N64">
        <v>179</v>
      </c>
      <c r="O64">
        <v>1.18412</v>
      </c>
      <c r="P64">
        <v>179</v>
      </c>
      <c r="Q64">
        <v>600</v>
      </c>
      <c r="S64">
        <v>600</v>
      </c>
      <c r="T64">
        <f t="shared" si="0"/>
        <v>0</v>
      </c>
      <c r="U64">
        <f t="shared" si="1"/>
        <v>0</v>
      </c>
    </row>
    <row r="65" spans="1:21">
      <c r="A65" t="s">
        <v>120</v>
      </c>
      <c r="B65">
        <v>56739</v>
      </c>
      <c r="C65">
        <v>212945</v>
      </c>
      <c r="D65">
        <v>8461</v>
      </c>
      <c r="E65">
        <v>106306</v>
      </c>
      <c r="F65">
        <v>0.021586</v>
      </c>
      <c r="G65">
        <v>40878</v>
      </c>
      <c r="H65">
        <v>0.217968</v>
      </c>
      <c r="I65">
        <v>40672</v>
      </c>
      <c r="J65">
        <v>0.475776</v>
      </c>
      <c r="K65">
        <v>7260</v>
      </c>
      <c r="L65">
        <v>0</v>
      </c>
      <c r="M65">
        <v>-1</v>
      </c>
      <c r="N65">
        <v>8</v>
      </c>
      <c r="O65" s="2">
        <v>0.018743</v>
      </c>
      <c r="P65">
        <v>24</v>
      </c>
      <c r="Q65">
        <v>600</v>
      </c>
      <c r="S65">
        <v>600</v>
      </c>
      <c r="T65">
        <f t="shared" si="0"/>
        <v>0</v>
      </c>
      <c r="U65">
        <f t="shared" si="1"/>
        <v>0</v>
      </c>
    </row>
    <row r="66" spans="1:21">
      <c r="A66" t="s">
        <v>121</v>
      </c>
      <c r="B66">
        <v>62</v>
      </c>
      <c r="C66">
        <v>159</v>
      </c>
      <c r="D66">
        <v>31</v>
      </c>
      <c r="E66">
        <v>90</v>
      </c>
      <c r="F66" s="3" t="s">
        <v>114</v>
      </c>
      <c r="G66">
        <v>0</v>
      </c>
      <c r="H66" s="3" t="s">
        <v>183</v>
      </c>
      <c r="I66">
        <v>0</v>
      </c>
      <c r="J66">
        <v>0</v>
      </c>
      <c r="K66">
        <v>0</v>
      </c>
      <c r="L66">
        <v>0</v>
      </c>
      <c r="M66">
        <v>0.002502</v>
      </c>
      <c r="N66">
        <v>5</v>
      </c>
      <c r="O66" s="3" t="s">
        <v>112</v>
      </c>
      <c r="P66">
        <v>5</v>
      </c>
      <c r="Q66">
        <v>0.011207</v>
      </c>
      <c r="S66">
        <v>0.010115</v>
      </c>
      <c r="T66">
        <f t="shared" ref="T66:T96" si="2">IF(S66&lt;Q66,1,0)</f>
        <v>1</v>
      </c>
      <c r="U66">
        <f t="shared" ref="U66:U96" si="3">IF(Q66&lt;S66,1,0)</f>
        <v>0</v>
      </c>
    </row>
    <row r="67" spans="1:21">
      <c r="A67" t="s">
        <v>124</v>
      </c>
      <c r="B67">
        <v>154908</v>
      </c>
      <c r="C67">
        <v>327162</v>
      </c>
      <c r="D67">
        <v>29489</v>
      </c>
      <c r="E67">
        <v>179659</v>
      </c>
      <c r="F67">
        <v>0.048028</v>
      </c>
      <c r="G67">
        <v>23461</v>
      </c>
      <c r="H67">
        <v>0.151431</v>
      </c>
      <c r="I67">
        <v>23119</v>
      </c>
      <c r="J67">
        <v>0.155418</v>
      </c>
      <c r="K67">
        <v>3696</v>
      </c>
      <c r="L67">
        <v>2221</v>
      </c>
      <c r="M67">
        <v>526.648</v>
      </c>
      <c r="N67">
        <v>3</v>
      </c>
      <c r="O67">
        <v>0.042093</v>
      </c>
      <c r="P67">
        <v>4</v>
      </c>
      <c r="Q67">
        <v>527.184</v>
      </c>
      <c r="S67">
        <v>268.421</v>
      </c>
      <c r="T67">
        <f t="shared" si="2"/>
        <v>1</v>
      </c>
      <c r="U67">
        <f t="shared" si="3"/>
        <v>0</v>
      </c>
    </row>
    <row r="68" spans="1:21">
      <c r="A68" t="s">
        <v>125</v>
      </c>
      <c r="B68">
        <v>26588</v>
      </c>
      <c r="C68">
        <v>100120</v>
      </c>
      <c r="D68">
        <v>5212</v>
      </c>
      <c r="E68">
        <v>64043</v>
      </c>
      <c r="F68">
        <v>0.012759</v>
      </c>
      <c r="G68">
        <v>25100</v>
      </c>
      <c r="H68">
        <v>0.121751</v>
      </c>
      <c r="I68">
        <v>24818</v>
      </c>
      <c r="J68">
        <v>0.851726</v>
      </c>
      <c r="K68">
        <v>4180</v>
      </c>
      <c r="L68">
        <v>0</v>
      </c>
      <c r="M68">
        <v>-1</v>
      </c>
      <c r="N68">
        <v>6</v>
      </c>
      <c r="O68">
        <v>0.009941</v>
      </c>
      <c r="P68">
        <v>9</v>
      </c>
      <c r="Q68">
        <v>600</v>
      </c>
      <c r="S68">
        <v>600</v>
      </c>
      <c r="T68">
        <f t="shared" si="2"/>
        <v>0</v>
      </c>
      <c r="U68">
        <f t="shared" si="3"/>
        <v>0</v>
      </c>
    </row>
    <row r="69" spans="1:21">
      <c r="A69" t="s">
        <v>126</v>
      </c>
      <c r="B69">
        <v>22900</v>
      </c>
      <c r="C69">
        <v>852419</v>
      </c>
      <c r="D69">
        <v>18887</v>
      </c>
      <c r="E69">
        <v>829031</v>
      </c>
      <c r="F69">
        <v>0.169717</v>
      </c>
      <c r="G69">
        <v>383637</v>
      </c>
      <c r="H69">
        <v>6.89281</v>
      </c>
      <c r="I69">
        <v>383320</v>
      </c>
      <c r="J69">
        <v>0.834607</v>
      </c>
      <c r="K69">
        <v>567</v>
      </c>
      <c r="L69">
        <v>0</v>
      </c>
      <c r="M69">
        <v>-1</v>
      </c>
      <c r="N69">
        <v>14</v>
      </c>
      <c r="O69">
        <v>0.188737</v>
      </c>
      <c r="P69">
        <v>42</v>
      </c>
      <c r="Q69">
        <v>600</v>
      </c>
      <c r="S69">
        <v>600</v>
      </c>
      <c r="T69">
        <f t="shared" si="2"/>
        <v>0</v>
      </c>
      <c r="U69">
        <f t="shared" si="3"/>
        <v>0</v>
      </c>
    </row>
    <row r="70" spans="1:21">
      <c r="A70" t="s">
        <v>127</v>
      </c>
      <c r="B70">
        <v>6621</v>
      </c>
      <c r="C70">
        <v>249959</v>
      </c>
      <c r="D70">
        <v>5334</v>
      </c>
      <c r="E70">
        <v>241890</v>
      </c>
      <c r="F70">
        <v>0.038714</v>
      </c>
      <c r="G70">
        <v>148690</v>
      </c>
      <c r="H70">
        <v>1.58421</v>
      </c>
      <c r="I70">
        <v>148373</v>
      </c>
      <c r="J70">
        <v>0.601305</v>
      </c>
      <c r="K70">
        <v>1141</v>
      </c>
      <c r="L70">
        <v>0</v>
      </c>
      <c r="M70">
        <v>-1</v>
      </c>
      <c r="N70">
        <v>15</v>
      </c>
      <c r="O70">
        <v>0.037922</v>
      </c>
      <c r="P70">
        <v>43</v>
      </c>
      <c r="Q70">
        <v>600</v>
      </c>
      <c r="S70">
        <v>600</v>
      </c>
      <c r="T70">
        <f t="shared" si="2"/>
        <v>0</v>
      </c>
      <c r="U70">
        <f t="shared" si="3"/>
        <v>0</v>
      </c>
    </row>
    <row r="71" spans="1:21">
      <c r="A71" t="s">
        <v>128</v>
      </c>
      <c r="B71">
        <v>9885</v>
      </c>
      <c r="C71">
        <v>506437</v>
      </c>
      <c r="D71">
        <v>8502</v>
      </c>
      <c r="E71">
        <v>499525</v>
      </c>
      <c r="F71">
        <v>0.097226</v>
      </c>
      <c r="G71">
        <v>367862</v>
      </c>
      <c r="H71">
        <v>4.53275</v>
      </c>
      <c r="I71">
        <v>367559</v>
      </c>
      <c r="J71">
        <v>0.789255</v>
      </c>
      <c r="K71">
        <v>595</v>
      </c>
      <c r="L71">
        <v>0</v>
      </c>
      <c r="M71">
        <v>-1</v>
      </c>
      <c r="N71">
        <v>13</v>
      </c>
      <c r="O71" s="2">
        <v>0.104747</v>
      </c>
      <c r="P71">
        <v>34</v>
      </c>
      <c r="Q71">
        <v>600</v>
      </c>
      <c r="S71">
        <v>600</v>
      </c>
      <c r="T71">
        <f t="shared" si="2"/>
        <v>0</v>
      </c>
      <c r="U71">
        <f t="shared" si="3"/>
        <v>0</v>
      </c>
    </row>
    <row r="72" spans="1:21">
      <c r="A72" t="s">
        <v>129</v>
      </c>
      <c r="B72">
        <v>6402</v>
      </c>
      <c r="C72">
        <v>251230</v>
      </c>
      <c r="D72">
        <v>5016</v>
      </c>
      <c r="E72">
        <v>243505</v>
      </c>
      <c r="F72">
        <v>0.043823</v>
      </c>
      <c r="G72">
        <v>155781</v>
      </c>
      <c r="H72">
        <v>1.80185</v>
      </c>
      <c r="I72">
        <v>155464</v>
      </c>
      <c r="J72">
        <v>0.55046</v>
      </c>
      <c r="K72">
        <v>1149</v>
      </c>
      <c r="L72">
        <v>0</v>
      </c>
      <c r="M72">
        <v>-1</v>
      </c>
      <c r="N72">
        <v>15</v>
      </c>
      <c r="O72">
        <v>0.042694</v>
      </c>
      <c r="P72">
        <v>31</v>
      </c>
      <c r="Q72">
        <v>600</v>
      </c>
      <c r="S72">
        <v>600</v>
      </c>
      <c r="T72">
        <f t="shared" si="2"/>
        <v>0</v>
      </c>
      <c r="U72">
        <f t="shared" si="3"/>
        <v>0</v>
      </c>
    </row>
    <row r="73" spans="1:21">
      <c r="A73" t="s">
        <v>130</v>
      </c>
      <c r="B73">
        <v>63392</v>
      </c>
      <c r="C73">
        <v>816886</v>
      </c>
      <c r="D73">
        <v>29975</v>
      </c>
      <c r="E73">
        <v>696932</v>
      </c>
      <c r="F73">
        <v>0.147837</v>
      </c>
      <c r="G73">
        <v>334130</v>
      </c>
      <c r="H73">
        <v>2.6014</v>
      </c>
      <c r="I73">
        <v>333856</v>
      </c>
      <c r="J73">
        <v>0.516857</v>
      </c>
      <c r="K73">
        <v>653</v>
      </c>
      <c r="L73">
        <v>0</v>
      </c>
      <c r="M73">
        <v>-1</v>
      </c>
      <c r="N73">
        <v>10</v>
      </c>
      <c r="O73">
        <v>0.137178</v>
      </c>
      <c r="P73">
        <v>30</v>
      </c>
      <c r="Q73">
        <v>600</v>
      </c>
      <c r="S73">
        <v>600</v>
      </c>
      <c r="T73">
        <f t="shared" si="2"/>
        <v>0</v>
      </c>
      <c r="U73">
        <f t="shared" si="3"/>
        <v>0</v>
      </c>
    </row>
    <row r="74" spans="1:21">
      <c r="A74" t="s">
        <v>131</v>
      </c>
      <c r="B74">
        <v>11586</v>
      </c>
      <c r="C74">
        <v>568309</v>
      </c>
      <c r="D74">
        <v>8834</v>
      </c>
      <c r="E74">
        <v>552370</v>
      </c>
      <c r="F74">
        <v>0.106761</v>
      </c>
      <c r="G74">
        <v>377575</v>
      </c>
      <c r="H74">
        <v>5.50026</v>
      </c>
      <c r="I74">
        <v>377252</v>
      </c>
      <c r="J74">
        <v>1.16338</v>
      </c>
      <c r="K74">
        <v>555</v>
      </c>
      <c r="L74">
        <v>0</v>
      </c>
      <c r="M74">
        <v>-1</v>
      </c>
      <c r="N74">
        <v>15</v>
      </c>
      <c r="O74">
        <v>0.129181</v>
      </c>
      <c r="P74">
        <v>51</v>
      </c>
      <c r="Q74">
        <v>600</v>
      </c>
      <c r="S74">
        <v>600</v>
      </c>
      <c r="T74">
        <f t="shared" si="2"/>
        <v>0</v>
      </c>
      <c r="U74">
        <f t="shared" si="3"/>
        <v>0</v>
      </c>
    </row>
    <row r="75" spans="1:21">
      <c r="A75" t="s">
        <v>132</v>
      </c>
      <c r="B75">
        <v>20453</v>
      </c>
      <c r="C75">
        <v>747604</v>
      </c>
      <c r="D75">
        <v>15550</v>
      </c>
      <c r="E75">
        <v>713798</v>
      </c>
      <c r="F75">
        <v>0.165048</v>
      </c>
      <c r="G75">
        <v>319513</v>
      </c>
      <c r="H75">
        <v>5.43034</v>
      </c>
      <c r="I75">
        <v>319198</v>
      </c>
      <c r="J75">
        <v>0.92327</v>
      </c>
      <c r="K75">
        <v>571</v>
      </c>
      <c r="L75">
        <v>0</v>
      </c>
      <c r="M75">
        <v>-1</v>
      </c>
      <c r="N75">
        <v>16</v>
      </c>
      <c r="O75" s="2">
        <v>0.168878</v>
      </c>
      <c r="P75">
        <v>51</v>
      </c>
      <c r="Q75">
        <v>600</v>
      </c>
      <c r="S75">
        <v>600</v>
      </c>
      <c r="T75">
        <f t="shared" si="2"/>
        <v>0</v>
      </c>
      <c r="U75">
        <f t="shared" si="3"/>
        <v>0</v>
      </c>
    </row>
    <row r="76" spans="1:21">
      <c r="A76" t="s">
        <v>133</v>
      </c>
      <c r="B76">
        <v>17206</v>
      </c>
      <c r="C76">
        <v>604867</v>
      </c>
      <c r="D76">
        <v>14706</v>
      </c>
      <c r="E76">
        <v>589090</v>
      </c>
      <c r="F76">
        <v>0.119481</v>
      </c>
      <c r="G76">
        <v>225375</v>
      </c>
      <c r="H76">
        <v>3.87245</v>
      </c>
      <c r="I76">
        <v>225037</v>
      </c>
      <c r="J76">
        <v>0.805693</v>
      </c>
      <c r="K76">
        <v>1057</v>
      </c>
      <c r="L76">
        <v>0</v>
      </c>
      <c r="M76">
        <v>-1</v>
      </c>
      <c r="N76">
        <v>14</v>
      </c>
      <c r="O76">
        <v>0.124766</v>
      </c>
      <c r="P76">
        <v>48</v>
      </c>
      <c r="Q76">
        <v>600</v>
      </c>
      <c r="S76">
        <v>600</v>
      </c>
      <c r="T76">
        <f t="shared" si="2"/>
        <v>0</v>
      </c>
      <c r="U76">
        <f t="shared" si="3"/>
        <v>0</v>
      </c>
    </row>
    <row r="77" spans="1:21">
      <c r="A77" t="s">
        <v>134</v>
      </c>
      <c r="B77">
        <v>14917</v>
      </c>
      <c r="C77">
        <v>482215</v>
      </c>
      <c r="D77">
        <v>11633</v>
      </c>
      <c r="E77">
        <v>458848</v>
      </c>
      <c r="F77">
        <v>0.095219</v>
      </c>
      <c r="G77">
        <v>181206</v>
      </c>
      <c r="H77">
        <v>3.07134</v>
      </c>
      <c r="I77">
        <v>180853</v>
      </c>
      <c r="J77">
        <v>1.34193</v>
      </c>
      <c r="K77">
        <v>746</v>
      </c>
      <c r="L77">
        <v>0</v>
      </c>
      <c r="M77">
        <v>-1</v>
      </c>
      <c r="N77">
        <v>16</v>
      </c>
      <c r="O77">
        <v>0.094462</v>
      </c>
      <c r="P77">
        <v>52</v>
      </c>
      <c r="Q77">
        <v>600</v>
      </c>
      <c r="S77">
        <v>600</v>
      </c>
      <c r="T77">
        <f t="shared" si="2"/>
        <v>0</v>
      </c>
      <c r="U77">
        <f t="shared" si="3"/>
        <v>0</v>
      </c>
    </row>
    <row r="78" spans="1:21">
      <c r="A78" t="s">
        <v>135</v>
      </c>
      <c r="B78">
        <v>23831</v>
      </c>
      <c r="C78">
        <v>835946</v>
      </c>
      <c r="D78">
        <v>20450</v>
      </c>
      <c r="E78">
        <v>816171</v>
      </c>
      <c r="F78">
        <v>0.146492</v>
      </c>
      <c r="G78">
        <v>374099</v>
      </c>
      <c r="H78">
        <v>5.59909</v>
      </c>
      <c r="I78">
        <v>373780</v>
      </c>
      <c r="J78">
        <v>0.611196</v>
      </c>
      <c r="K78">
        <v>281</v>
      </c>
      <c r="L78">
        <v>0</v>
      </c>
      <c r="M78">
        <v>-1</v>
      </c>
      <c r="N78">
        <v>13</v>
      </c>
      <c r="O78">
        <v>0.144314</v>
      </c>
      <c r="P78">
        <v>13</v>
      </c>
      <c r="Q78">
        <v>600</v>
      </c>
      <c r="S78">
        <v>600</v>
      </c>
      <c r="T78">
        <f t="shared" si="2"/>
        <v>0</v>
      </c>
      <c r="U78">
        <f t="shared" si="3"/>
        <v>0</v>
      </c>
    </row>
    <row r="79" spans="1:21">
      <c r="A79" t="s">
        <v>136</v>
      </c>
      <c r="B79">
        <v>196591</v>
      </c>
      <c r="C79">
        <v>950327</v>
      </c>
      <c r="D79">
        <v>46100</v>
      </c>
      <c r="E79">
        <v>600305</v>
      </c>
      <c r="F79">
        <v>0.151273</v>
      </c>
      <c r="G79">
        <v>281479</v>
      </c>
      <c r="H79">
        <v>1.78331</v>
      </c>
      <c r="I79">
        <v>281272</v>
      </c>
      <c r="J79">
        <v>0.268435</v>
      </c>
      <c r="K79">
        <v>787</v>
      </c>
      <c r="L79">
        <v>0</v>
      </c>
      <c r="M79">
        <v>-1</v>
      </c>
      <c r="N79">
        <v>7</v>
      </c>
      <c r="O79" s="2">
        <v>0.170767</v>
      </c>
      <c r="P79">
        <v>29</v>
      </c>
      <c r="Q79">
        <v>600</v>
      </c>
      <c r="S79">
        <v>600</v>
      </c>
      <c r="T79">
        <f t="shared" si="2"/>
        <v>0</v>
      </c>
      <c r="U79">
        <f t="shared" si="3"/>
        <v>0</v>
      </c>
    </row>
    <row r="80" spans="1:21">
      <c r="A80" t="s">
        <v>137</v>
      </c>
      <c r="B80">
        <v>34</v>
      </c>
      <c r="C80">
        <v>78</v>
      </c>
      <c r="D80">
        <v>13</v>
      </c>
      <c r="E80">
        <v>33</v>
      </c>
      <c r="F80" s="3" t="s">
        <v>25</v>
      </c>
      <c r="G80">
        <v>14</v>
      </c>
      <c r="H80" s="3" t="s">
        <v>102</v>
      </c>
      <c r="I80">
        <v>14</v>
      </c>
      <c r="J80">
        <v>0.012687</v>
      </c>
      <c r="K80">
        <v>13</v>
      </c>
      <c r="L80">
        <v>2</v>
      </c>
      <c r="M80">
        <v>0.01158</v>
      </c>
      <c r="N80">
        <v>4</v>
      </c>
      <c r="O80" s="2">
        <v>8e-6</v>
      </c>
      <c r="P80">
        <v>4</v>
      </c>
      <c r="Q80">
        <v>0.037147</v>
      </c>
      <c r="S80">
        <v>0.018054</v>
      </c>
      <c r="T80">
        <f t="shared" si="2"/>
        <v>1</v>
      </c>
      <c r="U80">
        <f t="shared" si="3"/>
        <v>0</v>
      </c>
    </row>
    <row r="81" spans="1:21">
      <c r="A81" t="s">
        <v>139</v>
      </c>
      <c r="B81">
        <v>70068</v>
      </c>
      <c r="C81">
        <v>358647</v>
      </c>
      <c r="D81">
        <v>25016</v>
      </c>
      <c r="E81">
        <v>292909</v>
      </c>
      <c r="F81">
        <v>0.056161</v>
      </c>
      <c r="G81">
        <v>71830</v>
      </c>
      <c r="H81">
        <v>0.620422</v>
      </c>
      <c r="I81">
        <v>71507</v>
      </c>
      <c r="J81">
        <v>0.185675</v>
      </c>
      <c r="K81">
        <v>2401</v>
      </c>
      <c r="L81">
        <v>0</v>
      </c>
      <c r="M81">
        <v>-1</v>
      </c>
      <c r="N81">
        <v>4</v>
      </c>
      <c r="O81">
        <v>0.045944</v>
      </c>
      <c r="P81">
        <v>20</v>
      </c>
      <c r="Q81">
        <v>600</v>
      </c>
      <c r="S81">
        <v>600</v>
      </c>
      <c r="T81">
        <f t="shared" si="2"/>
        <v>0</v>
      </c>
      <c r="U81">
        <f t="shared" si="3"/>
        <v>0</v>
      </c>
    </row>
    <row r="82" spans="1:21">
      <c r="A82" t="s">
        <v>140</v>
      </c>
      <c r="B82">
        <v>404719</v>
      </c>
      <c r="C82">
        <v>713319</v>
      </c>
      <c r="D82">
        <v>96749</v>
      </c>
      <c r="E82">
        <v>405349</v>
      </c>
      <c r="F82">
        <v>0.125114</v>
      </c>
      <c r="G82">
        <v>49436</v>
      </c>
      <c r="H82">
        <v>0.752954</v>
      </c>
      <c r="I82">
        <v>48884</v>
      </c>
      <c r="J82">
        <v>0.256021</v>
      </c>
      <c r="K82">
        <v>339</v>
      </c>
      <c r="L82">
        <v>0</v>
      </c>
      <c r="M82">
        <v>-1</v>
      </c>
      <c r="N82">
        <v>2</v>
      </c>
      <c r="O82">
        <v>0.105867</v>
      </c>
      <c r="P82">
        <v>4</v>
      </c>
      <c r="Q82">
        <v>600</v>
      </c>
      <c r="S82">
        <v>600</v>
      </c>
      <c r="T82">
        <f t="shared" si="2"/>
        <v>0</v>
      </c>
      <c r="U82">
        <f t="shared" si="3"/>
        <v>0</v>
      </c>
    </row>
    <row r="83" spans="1:21">
      <c r="A83" t="s">
        <v>141</v>
      </c>
      <c r="B83">
        <v>889</v>
      </c>
      <c r="C83">
        <v>2914</v>
      </c>
      <c r="D83">
        <v>326</v>
      </c>
      <c r="E83">
        <v>1765</v>
      </c>
      <c r="F83">
        <v>0.000606</v>
      </c>
      <c r="G83">
        <v>396</v>
      </c>
      <c r="H83">
        <v>0.001419</v>
      </c>
      <c r="I83">
        <v>101</v>
      </c>
      <c r="J83">
        <v>0.05336</v>
      </c>
      <c r="K83">
        <v>306</v>
      </c>
      <c r="L83">
        <v>34</v>
      </c>
      <c r="M83">
        <v>0.004912</v>
      </c>
      <c r="N83">
        <v>5</v>
      </c>
      <c r="O83">
        <v>0.000404</v>
      </c>
      <c r="P83">
        <v>6</v>
      </c>
      <c r="Q83">
        <v>0.062966</v>
      </c>
      <c r="S83">
        <v>0.041417</v>
      </c>
      <c r="T83">
        <f t="shared" si="2"/>
        <v>1</v>
      </c>
      <c r="U83">
        <f t="shared" si="3"/>
        <v>0</v>
      </c>
    </row>
    <row r="84" spans="1:21">
      <c r="A84" t="s">
        <v>142</v>
      </c>
      <c r="B84">
        <v>26475</v>
      </c>
      <c r="C84">
        <v>53381</v>
      </c>
      <c r="D84">
        <v>2578</v>
      </c>
      <c r="E84">
        <v>14068</v>
      </c>
      <c r="F84">
        <v>0.003944</v>
      </c>
      <c r="G84">
        <v>7621</v>
      </c>
      <c r="H84">
        <v>0.021169</v>
      </c>
      <c r="I84">
        <v>7511</v>
      </c>
      <c r="J84">
        <v>0.698523</v>
      </c>
      <c r="K84">
        <v>9385</v>
      </c>
      <c r="L84">
        <v>0</v>
      </c>
      <c r="M84">
        <v>-1</v>
      </c>
      <c r="N84">
        <v>4</v>
      </c>
      <c r="O84">
        <v>0.003333</v>
      </c>
      <c r="P84">
        <v>7</v>
      </c>
      <c r="Q84">
        <v>600</v>
      </c>
      <c r="S84">
        <v>600</v>
      </c>
      <c r="T84">
        <f t="shared" si="2"/>
        <v>0</v>
      </c>
      <c r="U84">
        <f t="shared" si="3"/>
        <v>0</v>
      </c>
    </row>
    <row r="85" spans="1:21">
      <c r="A85" t="s">
        <v>143</v>
      </c>
      <c r="B85">
        <v>40164</v>
      </c>
      <c r="C85">
        <v>85123</v>
      </c>
      <c r="D85">
        <v>4721</v>
      </c>
      <c r="E85">
        <v>26671</v>
      </c>
      <c r="F85">
        <v>0.007095</v>
      </c>
      <c r="G85">
        <v>14594</v>
      </c>
      <c r="H85">
        <v>0.055425</v>
      </c>
      <c r="I85">
        <v>14495</v>
      </c>
      <c r="J85">
        <v>0.388836</v>
      </c>
      <c r="K85">
        <v>6700</v>
      </c>
      <c r="L85">
        <v>0</v>
      </c>
      <c r="M85">
        <v>-1</v>
      </c>
      <c r="N85">
        <v>4</v>
      </c>
      <c r="O85" s="2">
        <v>0.006336</v>
      </c>
      <c r="P85">
        <v>7</v>
      </c>
      <c r="Q85">
        <v>600</v>
      </c>
      <c r="S85">
        <v>600</v>
      </c>
      <c r="T85">
        <f t="shared" si="2"/>
        <v>0</v>
      </c>
      <c r="U85">
        <f t="shared" si="3"/>
        <v>0</v>
      </c>
    </row>
    <row r="86" spans="1:21">
      <c r="A86" t="s">
        <v>144</v>
      </c>
      <c r="B86">
        <v>62561</v>
      </c>
      <c r="C86">
        <v>147878</v>
      </c>
      <c r="D86">
        <v>24443</v>
      </c>
      <c r="E86">
        <v>100454</v>
      </c>
      <c r="F86">
        <v>0.029401</v>
      </c>
      <c r="G86">
        <v>379</v>
      </c>
      <c r="H86">
        <v>0.046906</v>
      </c>
      <c r="I86">
        <v>90</v>
      </c>
      <c r="J86">
        <v>0.151505</v>
      </c>
      <c r="K86">
        <v>181</v>
      </c>
      <c r="L86">
        <v>16</v>
      </c>
      <c r="M86">
        <v>0.007669</v>
      </c>
      <c r="N86">
        <v>3</v>
      </c>
      <c r="O86">
        <v>0.021483</v>
      </c>
      <c r="P86">
        <v>3</v>
      </c>
      <c r="Q86">
        <v>0.330217</v>
      </c>
      <c r="S86">
        <v>0.152724</v>
      </c>
      <c r="T86">
        <f t="shared" si="2"/>
        <v>1</v>
      </c>
      <c r="U86">
        <f t="shared" si="3"/>
        <v>0</v>
      </c>
    </row>
    <row r="87" spans="1:21">
      <c r="A87" t="s">
        <v>145</v>
      </c>
      <c r="B87">
        <v>190914</v>
      </c>
      <c r="C87">
        <v>607610</v>
      </c>
      <c r="D87">
        <v>47992</v>
      </c>
      <c r="E87">
        <v>336097</v>
      </c>
      <c r="F87">
        <v>0.115711</v>
      </c>
      <c r="G87">
        <v>69189</v>
      </c>
      <c r="H87">
        <v>0.495</v>
      </c>
      <c r="I87">
        <v>68882</v>
      </c>
      <c r="J87">
        <v>0.515632</v>
      </c>
      <c r="K87">
        <v>2231</v>
      </c>
      <c r="L87">
        <v>0</v>
      </c>
      <c r="M87">
        <v>-1</v>
      </c>
      <c r="N87">
        <v>5</v>
      </c>
      <c r="O87">
        <v>0.127206</v>
      </c>
      <c r="P87">
        <v>12</v>
      </c>
      <c r="Q87">
        <v>600</v>
      </c>
      <c r="S87">
        <v>600</v>
      </c>
      <c r="T87">
        <f t="shared" si="2"/>
        <v>0</v>
      </c>
      <c r="U87">
        <f t="shared" si="3"/>
        <v>0</v>
      </c>
    </row>
    <row r="88" spans="1:21">
      <c r="A88" t="s">
        <v>146</v>
      </c>
      <c r="B88">
        <v>2113</v>
      </c>
      <c r="C88">
        <v>6632</v>
      </c>
      <c r="D88">
        <v>114</v>
      </c>
      <c r="E88">
        <v>1167</v>
      </c>
      <c r="F88">
        <v>0.00039</v>
      </c>
      <c r="G88">
        <v>680</v>
      </c>
      <c r="H88">
        <v>0.002299</v>
      </c>
      <c r="I88">
        <v>680</v>
      </c>
      <c r="J88">
        <v>0.16515</v>
      </c>
      <c r="K88">
        <v>1330</v>
      </c>
      <c r="L88">
        <v>127</v>
      </c>
      <c r="M88">
        <v>0.093053</v>
      </c>
      <c r="N88">
        <v>12</v>
      </c>
      <c r="O88">
        <v>0.000739</v>
      </c>
      <c r="P88">
        <v>12</v>
      </c>
      <c r="Q88">
        <v>0.264834</v>
      </c>
      <c r="S88">
        <v>0.16028</v>
      </c>
      <c r="T88">
        <f t="shared" si="2"/>
        <v>1</v>
      </c>
      <c r="U88">
        <f t="shared" si="3"/>
        <v>0</v>
      </c>
    </row>
    <row r="89" spans="1:21">
      <c r="A89" t="s">
        <v>147</v>
      </c>
      <c r="B89">
        <v>7476</v>
      </c>
      <c r="C89">
        <v>56943</v>
      </c>
      <c r="D89">
        <v>896</v>
      </c>
      <c r="E89">
        <v>34917</v>
      </c>
      <c r="F89">
        <v>0.006378</v>
      </c>
      <c r="G89">
        <v>29999</v>
      </c>
      <c r="H89">
        <v>0.299376</v>
      </c>
      <c r="I89">
        <v>29912</v>
      </c>
      <c r="J89">
        <v>2.75341</v>
      </c>
      <c r="K89">
        <v>12813</v>
      </c>
      <c r="L89">
        <v>0</v>
      </c>
      <c r="M89">
        <v>-1</v>
      </c>
      <c r="N89">
        <v>19</v>
      </c>
      <c r="O89" s="2">
        <v>0.005664</v>
      </c>
      <c r="P89">
        <v>39</v>
      </c>
      <c r="Q89">
        <v>600</v>
      </c>
      <c r="S89">
        <v>600</v>
      </c>
      <c r="T89">
        <f t="shared" si="2"/>
        <v>0</v>
      </c>
      <c r="U89">
        <f t="shared" si="3"/>
        <v>0</v>
      </c>
    </row>
    <row r="90" spans="1:21">
      <c r="A90" t="s">
        <v>148</v>
      </c>
      <c r="B90">
        <v>3031</v>
      </c>
      <c r="C90">
        <v>6474</v>
      </c>
      <c r="D90">
        <v>30</v>
      </c>
      <c r="E90">
        <v>435</v>
      </c>
      <c r="F90" s="3" t="s">
        <v>184</v>
      </c>
      <c r="G90">
        <v>435</v>
      </c>
      <c r="H90">
        <v>0.000811</v>
      </c>
      <c r="I90">
        <v>435</v>
      </c>
      <c r="J90" s="3" t="s">
        <v>25</v>
      </c>
      <c r="K90">
        <v>91</v>
      </c>
      <c r="L90">
        <v>91</v>
      </c>
      <c r="M90">
        <v>0.064235</v>
      </c>
      <c r="N90">
        <v>22</v>
      </c>
      <c r="O90">
        <v>0.000247</v>
      </c>
      <c r="P90">
        <v>23</v>
      </c>
      <c r="Q90">
        <v>0.066892</v>
      </c>
      <c r="S90">
        <v>600</v>
      </c>
      <c r="T90">
        <f t="shared" si="2"/>
        <v>0</v>
      </c>
      <c r="U90">
        <f t="shared" si="3"/>
        <v>1</v>
      </c>
    </row>
    <row r="91" spans="1:21">
      <c r="A91" t="s">
        <v>150</v>
      </c>
      <c r="B91">
        <v>1299</v>
      </c>
      <c r="C91">
        <v>2773</v>
      </c>
      <c r="D91">
        <v>21</v>
      </c>
      <c r="E91">
        <v>174</v>
      </c>
      <c r="F91" s="3" t="s">
        <v>149</v>
      </c>
      <c r="G91">
        <v>170</v>
      </c>
      <c r="H91">
        <v>0.00033</v>
      </c>
      <c r="I91">
        <v>170</v>
      </c>
      <c r="J91">
        <v>0.021933</v>
      </c>
      <c r="K91">
        <v>195</v>
      </c>
      <c r="L91">
        <v>21</v>
      </c>
      <c r="M91">
        <v>0.016215</v>
      </c>
      <c r="N91">
        <v>16</v>
      </c>
      <c r="O91">
        <v>0.000284</v>
      </c>
      <c r="P91">
        <v>16</v>
      </c>
      <c r="Q91">
        <v>0.040308</v>
      </c>
      <c r="S91">
        <v>0.018598</v>
      </c>
      <c r="T91">
        <f t="shared" si="2"/>
        <v>1</v>
      </c>
      <c r="U91">
        <f t="shared" si="3"/>
        <v>0</v>
      </c>
    </row>
    <row r="92" spans="1:21">
      <c r="A92" t="s">
        <v>152</v>
      </c>
      <c r="B92">
        <v>11358</v>
      </c>
      <c r="C92">
        <v>47606</v>
      </c>
      <c r="D92">
        <v>308</v>
      </c>
      <c r="E92">
        <v>5859</v>
      </c>
      <c r="F92">
        <v>0.001218</v>
      </c>
      <c r="G92">
        <v>5835</v>
      </c>
      <c r="H92">
        <v>0.012714</v>
      </c>
      <c r="I92">
        <v>5835</v>
      </c>
      <c r="J92">
        <v>1.36723</v>
      </c>
      <c r="K92">
        <v>8314</v>
      </c>
      <c r="L92">
        <v>1155</v>
      </c>
      <c r="M92">
        <v>15.8569</v>
      </c>
      <c r="N92">
        <v>32</v>
      </c>
      <c r="O92" s="2">
        <v>0.002238</v>
      </c>
      <c r="P92">
        <v>33</v>
      </c>
      <c r="Q92">
        <v>17.2599</v>
      </c>
      <c r="S92">
        <v>15.2952</v>
      </c>
      <c r="T92">
        <f t="shared" si="2"/>
        <v>1</v>
      </c>
      <c r="U92">
        <f t="shared" si="3"/>
        <v>0</v>
      </c>
    </row>
    <row r="93" spans="1:21">
      <c r="A93" t="s">
        <v>153</v>
      </c>
      <c r="B93">
        <v>643</v>
      </c>
      <c r="C93">
        <v>2280</v>
      </c>
      <c r="D93">
        <v>180</v>
      </c>
      <c r="E93">
        <v>1235</v>
      </c>
      <c r="F93">
        <v>0.000224</v>
      </c>
      <c r="G93">
        <v>506</v>
      </c>
      <c r="H93">
        <v>0.00138</v>
      </c>
      <c r="I93">
        <v>397</v>
      </c>
      <c r="J93">
        <v>0.079771</v>
      </c>
      <c r="K93">
        <v>579</v>
      </c>
      <c r="L93">
        <v>115</v>
      </c>
      <c r="M93">
        <v>0.026929</v>
      </c>
      <c r="N93">
        <v>6</v>
      </c>
      <c r="O93" s="2">
        <v>0.000189</v>
      </c>
      <c r="P93">
        <v>8</v>
      </c>
      <c r="Q93">
        <v>0.119158</v>
      </c>
      <c r="S93">
        <v>0.096504</v>
      </c>
      <c r="T93">
        <f t="shared" si="2"/>
        <v>1</v>
      </c>
      <c r="U93">
        <f t="shared" si="3"/>
        <v>0</v>
      </c>
    </row>
    <row r="94" spans="1:21">
      <c r="A94" t="s">
        <v>154</v>
      </c>
      <c r="B94">
        <v>121422</v>
      </c>
      <c r="C94">
        <v>334419</v>
      </c>
      <c r="D94">
        <v>631</v>
      </c>
      <c r="E94">
        <v>19076</v>
      </c>
      <c r="F94">
        <v>0.008319</v>
      </c>
      <c r="G94">
        <v>19071</v>
      </c>
      <c r="H94">
        <v>0.083664</v>
      </c>
      <c r="I94">
        <v>19071</v>
      </c>
      <c r="J94">
        <v>4.18351</v>
      </c>
      <c r="K94">
        <v>17183</v>
      </c>
      <c r="L94">
        <v>0</v>
      </c>
      <c r="M94">
        <v>-1</v>
      </c>
      <c r="N94">
        <v>31</v>
      </c>
      <c r="O94">
        <v>0.032326</v>
      </c>
      <c r="P94">
        <v>46</v>
      </c>
      <c r="Q94">
        <v>600</v>
      </c>
      <c r="S94">
        <v>600</v>
      </c>
      <c r="T94">
        <f t="shared" si="2"/>
        <v>0</v>
      </c>
      <c r="U94">
        <f t="shared" si="3"/>
        <v>0</v>
      </c>
    </row>
    <row r="95" spans="1:21">
      <c r="A95" t="s">
        <v>155</v>
      </c>
      <c r="B95">
        <v>4767</v>
      </c>
      <c r="C95">
        <v>37375</v>
      </c>
      <c r="D95">
        <v>1826</v>
      </c>
      <c r="E95">
        <v>28875</v>
      </c>
      <c r="F95">
        <v>0.004373</v>
      </c>
      <c r="G95">
        <v>12295</v>
      </c>
      <c r="H95">
        <v>0.070274</v>
      </c>
      <c r="I95">
        <v>11995</v>
      </c>
      <c r="J95">
        <v>0.243794</v>
      </c>
      <c r="K95">
        <v>3935</v>
      </c>
      <c r="L95">
        <v>0</v>
      </c>
      <c r="M95">
        <v>-1</v>
      </c>
      <c r="N95">
        <v>9</v>
      </c>
      <c r="O95">
        <v>0.003139</v>
      </c>
      <c r="P95">
        <v>12</v>
      </c>
      <c r="Q95">
        <v>600</v>
      </c>
      <c r="S95">
        <v>600</v>
      </c>
      <c r="T95">
        <f t="shared" si="2"/>
        <v>0</v>
      </c>
      <c r="U95">
        <f t="shared" si="3"/>
        <v>0</v>
      </c>
    </row>
    <row r="96" spans="1:21">
      <c r="A96" t="s">
        <v>156</v>
      </c>
      <c r="B96">
        <v>16062</v>
      </c>
      <c r="C96">
        <v>25593</v>
      </c>
      <c r="D96">
        <v>62</v>
      </c>
      <c r="E96">
        <v>934</v>
      </c>
      <c r="F96">
        <v>0.00058</v>
      </c>
      <c r="G96">
        <v>934</v>
      </c>
      <c r="H96">
        <v>0.001702</v>
      </c>
      <c r="I96">
        <v>934</v>
      </c>
      <c r="J96">
        <v>0.228703</v>
      </c>
      <c r="K96">
        <v>4041</v>
      </c>
      <c r="L96">
        <v>2165</v>
      </c>
      <c r="M96">
        <v>38.3932</v>
      </c>
      <c r="N96">
        <v>18</v>
      </c>
      <c r="O96">
        <v>0.001597</v>
      </c>
      <c r="P96">
        <v>18</v>
      </c>
      <c r="Q96">
        <v>38.6329</v>
      </c>
      <c r="S96">
        <v>2.74529</v>
      </c>
      <c r="T96">
        <f t="shared" si="2"/>
        <v>1</v>
      </c>
      <c r="U96">
        <f t="shared" si="3"/>
        <v>0</v>
      </c>
    </row>
    <row r="97" spans="17:21">
      <c r="Q97">
        <f>COUNT(Q2:Q96)-COUNTIF(Q2:Q96,"=600")</f>
        <v>62</v>
      </c>
      <c r="S97">
        <f>COUNT(S2:S96)-COUNTIF(S2:S96,"=600")</f>
        <v>61</v>
      </c>
      <c r="T97">
        <f>COUNTIF(T2:T96,"=1")</f>
        <v>55</v>
      </c>
      <c r="U97">
        <f>COUNTIF(U2:U96,"=1")</f>
        <v>7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73" workbookViewId="0">
      <selection activeCell="U73" sqref="U$1:U$104857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  <col min="19" max="19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181</v>
      </c>
      <c r="E2">
        <v>1122</v>
      </c>
      <c r="F2">
        <v>0.000176</v>
      </c>
      <c r="G2">
        <v>439</v>
      </c>
      <c r="H2">
        <v>0.001008</v>
      </c>
      <c r="I2">
        <v>332</v>
      </c>
      <c r="J2">
        <v>0.062761</v>
      </c>
      <c r="K2">
        <v>666</v>
      </c>
      <c r="L2">
        <v>87</v>
      </c>
      <c r="M2">
        <v>0.008196</v>
      </c>
      <c r="N2">
        <v>6</v>
      </c>
      <c r="O2">
        <v>0.000126</v>
      </c>
      <c r="P2">
        <v>7</v>
      </c>
      <c r="Q2">
        <v>0.105542</v>
      </c>
      <c r="S2">
        <v>0.078939</v>
      </c>
      <c r="T2">
        <f t="shared" ref="T2:T65" si="0">IF(S2&lt;Q2,1,0)</f>
        <v>1</v>
      </c>
      <c r="U2">
        <f t="shared" ref="U2:U65" si="1">IF(Q2&lt;S2,1,0)</f>
        <v>0</v>
      </c>
    </row>
    <row r="3" spans="1:23">
      <c r="A3" t="s">
        <v>18</v>
      </c>
      <c r="B3">
        <v>516</v>
      </c>
      <c r="C3">
        <v>1188</v>
      </c>
      <c r="D3">
        <v>11</v>
      </c>
      <c r="E3">
        <v>55</v>
      </c>
      <c r="F3" s="3" t="s">
        <v>185</v>
      </c>
      <c r="G3">
        <v>55</v>
      </c>
      <c r="H3" s="3" t="s">
        <v>24</v>
      </c>
      <c r="I3">
        <v>55</v>
      </c>
      <c r="J3" s="3" t="s">
        <v>21</v>
      </c>
      <c r="K3">
        <v>1</v>
      </c>
      <c r="L3">
        <v>1</v>
      </c>
      <c r="M3">
        <v>0.025816</v>
      </c>
      <c r="N3">
        <v>10</v>
      </c>
      <c r="O3" s="3" t="s">
        <v>168</v>
      </c>
      <c r="P3">
        <v>10</v>
      </c>
      <c r="Q3">
        <v>0.026553</v>
      </c>
      <c r="S3">
        <v>0.012832</v>
      </c>
      <c r="T3">
        <f t="shared" si="0"/>
        <v>1</v>
      </c>
      <c r="U3">
        <f t="shared" si="1"/>
        <v>0</v>
      </c>
    </row>
    <row r="4" spans="1:23">
      <c r="A4" t="s">
        <v>22</v>
      </c>
      <c r="B4">
        <v>7393</v>
      </c>
      <c r="C4">
        <v>25569</v>
      </c>
      <c r="D4">
        <v>3997</v>
      </c>
      <c r="E4">
        <v>20948</v>
      </c>
      <c r="F4">
        <v>0.00351</v>
      </c>
      <c r="G4">
        <v>1373</v>
      </c>
      <c r="H4">
        <v>0.011597</v>
      </c>
      <c r="I4">
        <v>1037</v>
      </c>
      <c r="J4">
        <v>0.09833</v>
      </c>
      <c r="K4">
        <v>1350</v>
      </c>
      <c r="L4">
        <v>327</v>
      </c>
      <c r="M4">
        <v>0.183935</v>
      </c>
      <c r="N4">
        <v>3</v>
      </c>
      <c r="O4" s="2">
        <v>0.002003</v>
      </c>
      <c r="P4">
        <v>4</v>
      </c>
      <c r="Q4">
        <v>0.307952</v>
      </c>
      <c r="S4">
        <v>0.297612</v>
      </c>
      <c r="T4">
        <f t="shared" si="0"/>
        <v>1</v>
      </c>
      <c r="U4">
        <f t="shared" si="1"/>
        <v>0</v>
      </c>
    </row>
    <row r="5" spans="1:23">
      <c r="A5" t="s">
        <v>23</v>
      </c>
      <c r="B5">
        <v>1458</v>
      </c>
      <c r="C5">
        <v>1948</v>
      </c>
      <c r="D5">
        <v>83</v>
      </c>
      <c r="E5">
        <v>170</v>
      </c>
      <c r="F5" s="3" t="s">
        <v>176</v>
      </c>
      <c r="G5">
        <v>36</v>
      </c>
      <c r="H5" s="3" t="s">
        <v>186</v>
      </c>
      <c r="I5">
        <v>29</v>
      </c>
      <c r="J5">
        <v>0.013547</v>
      </c>
      <c r="K5">
        <v>91</v>
      </c>
      <c r="L5">
        <v>8</v>
      </c>
      <c r="M5">
        <v>0.028125</v>
      </c>
      <c r="N5">
        <v>4</v>
      </c>
      <c r="O5">
        <v>0.000134</v>
      </c>
      <c r="P5">
        <v>4</v>
      </c>
      <c r="Q5">
        <v>0.042683</v>
      </c>
      <c r="S5">
        <v>0.068727</v>
      </c>
      <c r="T5">
        <f t="shared" si="0"/>
        <v>0</v>
      </c>
      <c r="U5">
        <f t="shared" si="1"/>
        <v>1</v>
      </c>
    </row>
    <row r="6" spans="1:23">
      <c r="A6" t="s">
        <v>26</v>
      </c>
      <c r="B6">
        <v>17903</v>
      </c>
      <c r="C6">
        <v>196972</v>
      </c>
      <c r="D6">
        <v>2565</v>
      </c>
      <c r="E6">
        <v>72450</v>
      </c>
      <c r="F6">
        <v>0.016167</v>
      </c>
      <c r="G6">
        <v>46227</v>
      </c>
      <c r="H6">
        <v>0.315993</v>
      </c>
      <c r="I6">
        <v>46207</v>
      </c>
      <c r="J6">
        <v>1.36383</v>
      </c>
      <c r="K6">
        <v>7014</v>
      </c>
      <c r="L6">
        <v>0</v>
      </c>
      <c r="M6">
        <v>-1</v>
      </c>
      <c r="N6">
        <v>29</v>
      </c>
      <c r="O6" s="2">
        <v>0.024659</v>
      </c>
      <c r="P6">
        <v>46</v>
      </c>
      <c r="Q6">
        <v>600</v>
      </c>
      <c r="S6">
        <v>600</v>
      </c>
      <c r="T6">
        <f t="shared" si="0"/>
        <v>0</v>
      </c>
      <c r="U6">
        <f t="shared" si="1"/>
        <v>0</v>
      </c>
    </row>
    <row r="7" spans="1:23">
      <c r="A7" t="s">
        <v>27</v>
      </c>
      <c r="B7">
        <v>227320</v>
      </c>
      <c r="C7">
        <v>814134</v>
      </c>
      <c r="D7">
        <v>4397</v>
      </c>
      <c r="E7">
        <v>91819</v>
      </c>
      <c r="F7">
        <v>0.03031</v>
      </c>
      <c r="G7">
        <v>90128</v>
      </c>
      <c r="H7">
        <v>0.275008</v>
      </c>
      <c r="I7">
        <v>90127</v>
      </c>
      <c r="J7">
        <v>1.85011</v>
      </c>
      <c r="K7">
        <v>3655</v>
      </c>
      <c r="L7">
        <v>0</v>
      </c>
      <c r="M7">
        <v>-1</v>
      </c>
      <c r="N7">
        <v>25</v>
      </c>
      <c r="O7">
        <v>0.107905</v>
      </c>
      <c r="P7">
        <v>64</v>
      </c>
      <c r="Q7">
        <v>600</v>
      </c>
      <c r="S7">
        <v>600</v>
      </c>
      <c r="T7">
        <f t="shared" si="0"/>
        <v>0</v>
      </c>
      <c r="U7">
        <f t="shared" si="1"/>
        <v>0</v>
      </c>
    </row>
    <row r="8" spans="1:23">
      <c r="A8" t="s">
        <v>28</v>
      </c>
      <c r="B8">
        <v>21363</v>
      </c>
      <c r="C8">
        <v>91286</v>
      </c>
      <c r="D8">
        <v>1883</v>
      </c>
      <c r="E8">
        <v>18104</v>
      </c>
      <c r="F8">
        <v>0.004522</v>
      </c>
      <c r="G8">
        <v>10003</v>
      </c>
      <c r="H8">
        <v>0.024438</v>
      </c>
      <c r="I8">
        <v>9991</v>
      </c>
      <c r="J8">
        <v>0.238319</v>
      </c>
      <c r="K8">
        <v>10923</v>
      </c>
      <c r="L8">
        <v>0</v>
      </c>
      <c r="M8">
        <v>-1</v>
      </c>
      <c r="N8">
        <v>11</v>
      </c>
      <c r="O8">
        <v>0.007584</v>
      </c>
      <c r="P8">
        <v>13</v>
      </c>
      <c r="Q8">
        <v>600</v>
      </c>
      <c r="S8">
        <v>600</v>
      </c>
      <c r="T8">
        <f t="shared" si="0"/>
        <v>0</v>
      </c>
      <c r="U8">
        <f t="shared" si="1"/>
        <v>0</v>
      </c>
    </row>
    <row r="9" spans="1:23">
      <c r="A9" t="s">
        <v>29</v>
      </c>
      <c r="B9">
        <v>1882</v>
      </c>
      <c r="C9">
        <v>1740</v>
      </c>
      <c r="D9">
        <v>583</v>
      </c>
      <c r="E9">
        <v>524</v>
      </c>
      <c r="F9">
        <v>0.000182</v>
      </c>
      <c r="G9">
        <v>20</v>
      </c>
      <c r="H9">
        <v>0.000152</v>
      </c>
      <c r="I9">
        <v>0</v>
      </c>
      <c r="J9">
        <v>0.013128</v>
      </c>
      <c r="K9">
        <v>0</v>
      </c>
      <c r="L9">
        <v>0</v>
      </c>
      <c r="M9">
        <v>0.001762</v>
      </c>
      <c r="N9">
        <v>2</v>
      </c>
      <c r="O9">
        <v>0.000197</v>
      </c>
      <c r="P9">
        <v>2</v>
      </c>
      <c r="Q9">
        <v>0.016218</v>
      </c>
      <c r="S9">
        <v>0.012935</v>
      </c>
      <c r="T9">
        <f t="shared" si="0"/>
        <v>1</v>
      </c>
      <c r="U9">
        <f t="shared" si="1"/>
        <v>0</v>
      </c>
    </row>
    <row r="10" spans="1:23">
      <c r="A10" t="s">
        <v>32</v>
      </c>
      <c r="B10">
        <v>226413</v>
      </c>
      <c r="C10">
        <v>716460</v>
      </c>
      <c r="D10">
        <v>3357</v>
      </c>
      <c r="E10">
        <v>57594</v>
      </c>
      <c r="F10">
        <v>0.025503</v>
      </c>
      <c r="G10">
        <v>56032</v>
      </c>
      <c r="H10">
        <v>0.13671</v>
      </c>
      <c r="I10">
        <v>56032</v>
      </c>
      <c r="J10">
        <v>1.24005</v>
      </c>
      <c r="K10">
        <v>3135</v>
      </c>
      <c r="L10">
        <v>0</v>
      </c>
      <c r="M10">
        <v>-1</v>
      </c>
      <c r="N10">
        <v>20</v>
      </c>
      <c r="O10">
        <v>0.110734</v>
      </c>
      <c r="P10">
        <v>52</v>
      </c>
      <c r="Q10">
        <v>600</v>
      </c>
      <c r="S10">
        <v>600</v>
      </c>
      <c r="T10">
        <f t="shared" si="0"/>
        <v>0</v>
      </c>
      <c r="U10">
        <f t="shared" si="1"/>
        <v>0</v>
      </c>
    </row>
    <row r="11" spans="1:23">
      <c r="A11" t="s">
        <v>33</v>
      </c>
      <c r="B11">
        <v>5094</v>
      </c>
      <c r="C11">
        <v>7515</v>
      </c>
      <c r="D11">
        <v>492</v>
      </c>
      <c r="E11">
        <v>1777</v>
      </c>
      <c r="F11">
        <v>0.00044</v>
      </c>
      <c r="G11">
        <v>347</v>
      </c>
      <c r="H11">
        <v>0.000935</v>
      </c>
      <c r="I11">
        <v>218</v>
      </c>
      <c r="J11">
        <v>0.121786</v>
      </c>
      <c r="K11">
        <v>1102</v>
      </c>
      <c r="L11">
        <v>95</v>
      </c>
      <c r="M11">
        <v>0.016214</v>
      </c>
      <c r="N11">
        <v>4</v>
      </c>
      <c r="O11" s="2">
        <v>0.000476</v>
      </c>
      <c r="P11">
        <v>5</v>
      </c>
      <c r="Q11">
        <v>0.142191</v>
      </c>
      <c r="S11">
        <v>0.075759</v>
      </c>
      <c r="T11">
        <f t="shared" si="0"/>
        <v>1</v>
      </c>
      <c r="U11">
        <f t="shared" si="1"/>
        <v>0</v>
      </c>
    </row>
    <row r="12" spans="1:23">
      <c r="A12" t="s">
        <v>34</v>
      </c>
      <c r="B12">
        <v>4158</v>
      </c>
      <c r="C12">
        <v>13422</v>
      </c>
      <c r="D12">
        <v>123</v>
      </c>
      <c r="E12">
        <v>2406</v>
      </c>
      <c r="F12">
        <v>0.000667</v>
      </c>
      <c r="G12">
        <v>2406</v>
      </c>
      <c r="H12">
        <v>0.008637</v>
      </c>
      <c r="I12">
        <v>2406</v>
      </c>
      <c r="J12">
        <v>0.565975</v>
      </c>
      <c r="K12">
        <v>6313</v>
      </c>
      <c r="L12">
        <v>638</v>
      </c>
      <c r="M12">
        <v>5.51831</v>
      </c>
      <c r="N12">
        <v>31</v>
      </c>
      <c r="O12">
        <v>0.001757</v>
      </c>
      <c r="P12">
        <v>31</v>
      </c>
      <c r="Q12">
        <v>6.11939</v>
      </c>
      <c r="S12">
        <v>1.60063</v>
      </c>
      <c r="T12">
        <f t="shared" si="0"/>
        <v>1</v>
      </c>
      <c r="U12">
        <f t="shared" si="1"/>
        <v>0</v>
      </c>
    </row>
    <row r="13" spans="1:23">
      <c r="A13" t="s">
        <v>35</v>
      </c>
      <c r="B13">
        <v>11204</v>
      </c>
      <c r="C13">
        <v>117619</v>
      </c>
      <c r="D13">
        <v>239</v>
      </c>
      <c r="E13">
        <v>28441</v>
      </c>
      <c r="F13">
        <v>0.007013</v>
      </c>
      <c r="G13">
        <v>28441</v>
      </c>
      <c r="H13">
        <v>0.755004</v>
      </c>
      <c r="I13">
        <v>28441</v>
      </c>
      <c r="J13">
        <v>0.000547</v>
      </c>
      <c r="K13">
        <v>426</v>
      </c>
      <c r="L13">
        <v>0</v>
      </c>
      <c r="M13">
        <v>-1</v>
      </c>
      <c r="N13">
        <v>101</v>
      </c>
      <c r="O13">
        <v>0.035993</v>
      </c>
      <c r="P13">
        <v>154</v>
      </c>
      <c r="Q13">
        <v>600</v>
      </c>
      <c r="S13">
        <v>600</v>
      </c>
      <c r="T13">
        <f t="shared" si="0"/>
        <v>0</v>
      </c>
      <c r="U13">
        <f t="shared" si="1"/>
        <v>0</v>
      </c>
    </row>
    <row r="14" spans="1:23">
      <c r="A14" t="s">
        <v>36</v>
      </c>
      <c r="B14">
        <v>332689</v>
      </c>
      <c r="C14">
        <v>820644</v>
      </c>
      <c r="D14">
        <v>26475</v>
      </c>
      <c r="E14">
        <v>169690</v>
      </c>
      <c r="F14">
        <v>0.079796</v>
      </c>
      <c r="G14">
        <v>33551</v>
      </c>
      <c r="H14">
        <v>0.16283</v>
      </c>
      <c r="I14">
        <v>33450</v>
      </c>
      <c r="J14">
        <v>0.175099</v>
      </c>
      <c r="K14">
        <v>6802</v>
      </c>
      <c r="L14">
        <v>0</v>
      </c>
      <c r="M14">
        <v>-1</v>
      </c>
      <c r="N14">
        <v>7</v>
      </c>
      <c r="O14" s="2">
        <v>0.184522</v>
      </c>
      <c r="P14">
        <v>14</v>
      </c>
      <c r="Q14">
        <v>600</v>
      </c>
      <c r="S14">
        <v>600</v>
      </c>
      <c r="T14">
        <f t="shared" si="0"/>
        <v>0</v>
      </c>
      <c r="U14">
        <f t="shared" si="1"/>
        <v>0</v>
      </c>
    </row>
    <row r="15" spans="1:23">
      <c r="A15" t="s">
        <v>37</v>
      </c>
      <c r="B15">
        <v>379</v>
      </c>
      <c r="C15">
        <v>914</v>
      </c>
      <c r="D15">
        <v>9</v>
      </c>
      <c r="E15">
        <v>36</v>
      </c>
      <c r="F15" s="3" t="s">
        <v>165</v>
      </c>
      <c r="G15">
        <v>36</v>
      </c>
      <c r="H15" s="3" t="s">
        <v>167</v>
      </c>
      <c r="I15">
        <v>36</v>
      </c>
      <c r="J15" s="3" t="s">
        <v>91</v>
      </c>
      <c r="K15">
        <v>1</v>
      </c>
      <c r="L15">
        <v>1</v>
      </c>
      <c r="M15">
        <v>0.015927</v>
      </c>
      <c r="N15">
        <v>8</v>
      </c>
      <c r="O15" s="2">
        <v>8.8e-5</v>
      </c>
      <c r="P15">
        <v>8</v>
      </c>
      <c r="Q15">
        <v>0.042877</v>
      </c>
      <c r="S15">
        <v>0.030118</v>
      </c>
      <c r="T15">
        <f t="shared" si="0"/>
        <v>1</v>
      </c>
      <c r="U15">
        <f t="shared" si="1"/>
        <v>0</v>
      </c>
    </row>
    <row r="16" spans="1:23">
      <c r="A16" t="s">
        <v>42</v>
      </c>
      <c r="B16">
        <v>32430</v>
      </c>
      <c r="C16">
        <v>54397</v>
      </c>
      <c r="D16">
        <v>1542</v>
      </c>
      <c r="E16">
        <v>15930</v>
      </c>
      <c r="F16">
        <v>0.003164</v>
      </c>
      <c r="G16">
        <v>9773</v>
      </c>
      <c r="H16">
        <v>0.025433</v>
      </c>
      <c r="I16">
        <v>9625</v>
      </c>
      <c r="J16">
        <v>0.194649</v>
      </c>
      <c r="K16">
        <v>3748</v>
      </c>
      <c r="L16">
        <v>0</v>
      </c>
      <c r="M16">
        <v>-1</v>
      </c>
      <c r="N16">
        <v>5</v>
      </c>
      <c r="O16">
        <v>0.003021</v>
      </c>
      <c r="P16">
        <v>7</v>
      </c>
      <c r="Q16">
        <v>600</v>
      </c>
      <c r="S16">
        <v>600</v>
      </c>
      <c r="T16">
        <f t="shared" si="0"/>
        <v>0</v>
      </c>
      <c r="U16">
        <f t="shared" si="1"/>
        <v>0</v>
      </c>
    </row>
    <row r="17" spans="1:21">
      <c r="A17" t="s">
        <v>43</v>
      </c>
      <c r="B17">
        <v>1133</v>
      </c>
      <c r="C17">
        <v>5451</v>
      </c>
      <c r="D17">
        <v>588</v>
      </c>
      <c r="E17">
        <v>4048</v>
      </c>
      <c r="F17">
        <v>0.000585</v>
      </c>
      <c r="G17">
        <v>776</v>
      </c>
      <c r="H17">
        <v>0.002872</v>
      </c>
      <c r="I17">
        <v>459</v>
      </c>
      <c r="J17">
        <v>0.12346</v>
      </c>
      <c r="K17">
        <v>2032</v>
      </c>
      <c r="L17">
        <v>119</v>
      </c>
      <c r="M17">
        <v>0.054362</v>
      </c>
      <c r="N17">
        <v>6</v>
      </c>
      <c r="O17" s="2">
        <v>0.000346</v>
      </c>
      <c r="P17">
        <v>7</v>
      </c>
      <c r="Q17">
        <v>0.183424</v>
      </c>
      <c r="S17">
        <v>0.161703</v>
      </c>
      <c r="T17">
        <f t="shared" si="0"/>
        <v>1</v>
      </c>
      <c r="U17">
        <f t="shared" si="1"/>
        <v>0</v>
      </c>
    </row>
    <row r="18" spans="1:21">
      <c r="A18" t="s">
        <v>44</v>
      </c>
      <c r="B18">
        <v>33696</v>
      </c>
      <c r="C18">
        <v>180811</v>
      </c>
      <c r="D18">
        <v>7541</v>
      </c>
      <c r="E18">
        <v>118896</v>
      </c>
      <c r="F18">
        <v>0.022981</v>
      </c>
      <c r="G18">
        <v>90403</v>
      </c>
      <c r="H18">
        <v>0.490957</v>
      </c>
      <c r="I18">
        <v>90259</v>
      </c>
      <c r="J18">
        <v>0.338464</v>
      </c>
      <c r="K18">
        <v>2812</v>
      </c>
      <c r="L18">
        <v>0</v>
      </c>
      <c r="M18">
        <v>-1</v>
      </c>
      <c r="N18">
        <v>7</v>
      </c>
      <c r="O18" s="2">
        <v>0.016792</v>
      </c>
      <c r="P18">
        <v>16</v>
      </c>
      <c r="Q18">
        <v>600</v>
      </c>
      <c r="S18">
        <v>600</v>
      </c>
      <c r="T18">
        <f t="shared" si="0"/>
        <v>0</v>
      </c>
      <c r="U18">
        <f t="shared" si="1"/>
        <v>0</v>
      </c>
    </row>
    <row r="19" spans="1:21">
      <c r="A19" t="s">
        <v>45</v>
      </c>
      <c r="B19">
        <v>143</v>
      </c>
      <c r="C19">
        <v>623</v>
      </c>
      <c r="D19">
        <v>80</v>
      </c>
      <c r="E19">
        <v>442</v>
      </c>
      <c r="F19">
        <v>0.000102</v>
      </c>
      <c r="G19">
        <v>139</v>
      </c>
      <c r="H19">
        <v>0.000474</v>
      </c>
      <c r="I19">
        <v>107</v>
      </c>
      <c r="J19">
        <v>0.11736</v>
      </c>
      <c r="K19">
        <v>222</v>
      </c>
      <c r="L19">
        <v>27</v>
      </c>
      <c r="M19">
        <v>0.016647</v>
      </c>
      <c r="N19">
        <v>6</v>
      </c>
      <c r="O19" s="2">
        <v>7e-5</v>
      </c>
      <c r="P19">
        <v>7</v>
      </c>
      <c r="Q19">
        <v>0.144296</v>
      </c>
      <c r="S19">
        <v>0.028942</v>
      </c>
      <c r="T19">
        <f t="shared" si="0"/>
        <v>1</v>
      </c>
      <c r="U19">
        <f t="shared" si="1"/>
        <v>0</v>
      </c>
    </row>
    <row r="20" spans="1:21">
      <c r="A20" t="s">
        <v>48</v>
      </c>
      <c r="B20">
        <v>1266</v>
      </c>
      <c r="C20">
        <v>6451</v>
      </c>
      <c r="D20">
        <v>761</v>
      </c>
      <c r="E20">
        <v>5580</v>
      </c>
      <c r="F20">
        <v>0.000849</v>
      </c>
      <c r="G20">
        <v>689</v>
      </c>
      <c r="H20">
        <v>0.004167</v>
      </c>
      <c r="I20">
        <v>141</v>
      </c>
      <c r="J20">
        <v>0.037441</v>
      </c>
      <c r="K20">
        <v>105</v>
      </c>
      <c r="L20">
        <v>8</v>
      </c>
      <c r="M20">
        <v>0.011669</v>
      </c>
      <c r="N20">
        <v>4</v>
      </c>
      <c r="O20">
        <v>0.000461</v>
      </c>
      <c r="P20">
        <v>4</v>
      </c>
      <c r="Q20">
        <v>0.057444</v>
      </c>
      <c r="S20">
        <v>0.039569</v>
      </c>
      <c r="T20">
        <f t="shared" si="0"/>
        <v>1</v>
      </c>
      <c r="U20">
        <f t="shared" si="1"/>
        <v>0</v>
      </c>
    </row>
    <row r="21" spans="1:21">
      <c r="A21" t="s">
        <v>49</v>
      </c>
      <c r="B21">
        <v>410</v>
      </c>
      <c r="C21">
        <v>2765</v>
      </c>
      <c r="D21">
        <v>126</v>
      </c>
      <c r="E21">
        <v>1182</v>
      </c>
      <c r="F21">
        <v>0.000242</v>
      </c>
      <c r="G21">
        <v>320</v>
      </c>
      <c r="H21">
        <v>0.001624</v>
      </c>
      <c r="I21">
        <v>184</v>
      </c>
      <c r="J21">
        <v>0.303789</v>
      </c>
      <c r="K21">
        <v>751</v>
      </c>
      <c r="L21">
        <v>31</v>
      </c>
      <c r="M21">
        <v>0.036529</v>
      </c>
      <c r="N21">
        <v>12</v>
      </c>
      <c r="O21">
        <v>0.000249</v>
      </c>
      <c r="P21">
        <v>12</v>
      </c>
      <c r="Q21">
        <v>0.360905</v>
      </c>
      <c r="S21">
        <v>0.076931</v>
      </c>
      <c r="T21">
        <f t="shared" si="0"/>
        <v>1</v>
      </c>
      <c r="U21">
        <f t="shared" si="1"/>
        <v>0</v>
      </c>
    </row>
    <row r="22" spans="1:21">
      <c r="A22" t="s">
        <v>51</v>
      </c>
      <c r="B22">
        <v>113</v>
      </c>
      <c r="C22">
        <v>2196</v>
      </c>
      <c r="D22">
        <v>112</v>
      </c>
      <c r="E22">
        <v>2195</v>
      </c>
      <c r="F22">
        <v>0.000707</v>
      </c>
      <c r="G22">
        <v>1939</v>
      </c>
      <c r="H22">
        <v>0.010334</v>
      </c>
      <c r="I22">
        <v>1838</v>
      </c>
      <c r="J22">
        <v>0.69839</v>
      </c>
      <c r="K22">
        <v>1407</v>
      </c>
      <c r="L22">
        <v>459</v>
      </c>
      <c r="M22">
        <v>0.166897</v>
      </c>
      <c r="N22">
        <v>10</v>
      </c>
      <c r="O22">
        <v>0.000521</v>
      </c>
      <c r="P22">
        <v>12</v>
      </c>
      <c r="Q22">
        <v>0.891231</v>
      </c>
      <c r="S22">
        <v>0.431548</v>
      </c>
      <c r="T22">
        <f t="shared" si="0"/>
        <v>1</v>
      </c>
      <c r="U22">
        <f t="shared" si="1"/>
        <v>0</v>
      </c>
    </row>
    <row r="23" spans="1:21">
      <c r="A23" t="s">
        <v>52</v>
      </c>
      <c r="B23">
        <v>6809</v>
      </c>
      <c r="C23">
        <v>7680</v>
      </c>
      <c r="D23">
        <v>228</v>
      </c>
      <c r="E23">
        <v>805</v>
      </c>
      <c r="F23">
        <v>0.000212</v>
      </c>
      <c r="G23">
        <v>196</v>
      </c>
      <c r="H23">
        <v>0.000292</v>
      </c>
      <c r="I23">
        <v>163</v>
      </c>
      <c r="J23">
        <v>0.055365</v>
      </c>
      <c r="K23">
        <v>492</v>
      </c>
      <c r="L23">
        <v>95</v>
      </c>
      <c r="M23">
        <v>0.028545</v>
      </c>
      <c r="N23">
        <v>3</v>
      </c>
      <c r="O23">
        <v>0.000295</v>
      </c>
      <c r="P23">
        <v>3</v>
      </c>
      <c r="Q23">
        <v>0.08646</v>
      </c>
      <c r="S23">
        <v>0.058513</v>
      </c>
      <c r="T23">
        <f t="shared" si="0"/>
        <v>1</v>
      </c>
      <c r="U23">
        <f t="shared" si="1"/>
        <v>0</v>
      </c>
    </row>
    <row r="24" spans="1:21">
      <c r="A24" t="s">
        <v>53</v>
      </c>
      <c r="B24">
        <v>92117</v>
      </c>
      <c r="C24">
        <v>360767</v>
      </c>
      <c r="D24">
        <v>19832</v>
      </c>
      <c r="E24">
        <v>264678</v>
      </c>
      <c r="F24">
        <v>0.060884</v>
      </c>
      <c r="G24">
        <v>139137</v>
      </c>
      <c r="H24">
        <v>0.912319</v>
      </c>
      <c r="I24">
        <v>138972</v>
      </c>
      <c r="J24">
        <v>0.211444</v>
      </c>
      <c r="K24">
        <v>1315</v>
      </c>
      <c r="L24">
        <v>0</v>
      </c>
      <c r="M24">
        <v>-1</v>
      </c>
      <c r="N24">
        <v>4</v>
      </c>
      <c r="O24" s="2">
        <v>0.057096</v>
      </c>
      <c r="P24">
        <v>14</v>
      </c>
      <c r="Q24">
        <v>600</v>
      </c>
      <c r="S24">
        <v>600</v>
      </c>
      <c r="T24">
        <f t="shared" si="0"/>
        <v>0</v>
      </c>
      <c r="U24">
        <f t="shared" si="1"/>
        <v>0</v>
      </c>
    </row>
    <row r="25" spans="1:21">
      <c r="A25" t="s">
        <v>54</v>
      </c>
      <c r="B25">
        <v>4941</v>
      </c>
      <c r="C25">
        <v>6594</v>
      </c>
      <c r="D25">
        <v>107</v>
      </c>
      <c r="E25">
        <v>199</v>
      </c>
      <c r="F25">
        <v>0.000216</v>
      </c>
      <c r="G25">
        <v>63</v>
      </c>
      <c r="H25" s="3" t="s">
        <v>187</v>
      </c>
      <c r="I25">
        <v>60</v>
      </c>
      <c r="J25">
        <v>0.019197</v>
      </c>
      <c r="K25">
        <v>146</v>
      </c>
      <c r="L25">
        <v>16</v>
      </c>
      <c r="M25">
        <v>0.029661</v>
      </c>
      <c r="N25">
        <v>4</v>
      </c>
      <c r="O25">
        <v>0.000517</v>
      </c>
      <c r="P25">
        <v>4</v>
      </c>
      <c r="Q25">
        <v>0.05138</v>
      </c>
      <c r="S25">
        <v>0.023392</v>
      </c>
      <c r="T25">
        <f t="shared" si="0"/>
        <v>1</v>
      </c>
      <c r="U25">
        <f t="shared" si="1"/>
        <v>0</v>
      </c>
    </row>
    <row r="26" spans="1:21">
      <c r="A26" t="s">
        <v>56</v>
      </c>
      <c r="B26">
        <v>91813</v>
      </c>
      <c r="C26">
        <v>125704</v>
      </c>
      <c r="D26">
        <v>114</v>
      </c>
      <c r="E26">
        <v>136</v>
      </c>
      <c r="F26">
        <v>0.004591</v>
      </c>
      <c r="G26">
        <v>0</v>
      </c>
      <c r="H26" s="3" t="s">
        <v>165</v>
      </c>
      <c r="I26">
        <v>0</v>
      </c>
      <c r="J26" s="3" t="s">
        <v>21</v>
      </c>
      <c r="K26">
        <v>0</v>
      </c>
      <c r="L26">
        <v>0</v>
      </c>
      <c r="M26">
        <v>0.001598</v>
      </c>
      <c r="N26">
        <v>5</v>
      </c>
      <c r="O26">
        <v>0.016843</v>
      </c>
      <c r="P26">
        <v>5</v>
      </c>
      <c r="Q26">
        <v>0.083325</v>
      </c>
      <c r="S26">
        <v>0.049308</v>
      </c>
      <c r="T26">
        <f t="shared" si="0"/>
        <v>1</v>
      </c>
      <c r="U26">
        <f t="shared" si="1"/>
        <v>0</v>
      </c>
    </row>
    <row r="27" spans="1:21">
      <c r="A27" t="s">
        <v>58</v>
      </c>
      <c r="B27">
        <v>96</v>
      </c>
      <c r="C27">
        <v>117</v>
      </c>
      <c r="D27">
        <v>16</v>
      </c>
      <c r="E27">
        <v>26</v>
      </c>
      <c r="F27" s="3" t="s">
        <v>79</v>
      </c>
      <c r="G27">
        <v>6</v>
      </c>
      <c r="H27" s="3" t="s">
        <v>162</v>
      </c>
      <c r="I27">
        <v>6</v>
      </c>
      <c r="J27">
        <v>0.015655</v>
      </c>
      <c r="K27">
        <v>13</v>
      </c>
      <c r="L27">
        <v>1</v>
      </c>
      <c r="M27">
        <v>0.01413</v>
      </c>
      <c r="N27">
        <v>3</v>
      </c>
      <c r="O27" s="2">
        <v>2.6e-5</v>
      </c>
      <c r="P27">
        <v>3</v>
      </c>
      <c r="Q27">
        <v>0.037874</v>
      </c>
      <c r="S27">
        <v>0.014045</v>
      </c>
      <c r="T27">
        <f t="shared" si="0"/>
        <v>1</v>
      </c>
      <c r="U27">
        <f t="shared" si="1"/>
        <v>0</v>
      </c>
    </row>
    <row r="28" spans="1:21">
      <c r="A28" t="s">
        <v>61</v>
      </c>
      <c r="B28">
        <v>761</v>
      </c>
      <c r="C28">
        <v>1029</v>
      </c>
      <c r="D28">
        <v>51</v>
      </c>
      <c r="E28">
        <v>139</v>
      </c>
      <c r="F28" s="3" t="s">
        <v>62</v>
      </c>
      <c r="G28">
        <v>13</v>
      </c>
      <c r="H28" s="3" t="s">
        <v>169</v>
      </c>
      <c r="I28">
        <v>0</v>
      </c>
      <c r="J28" s="3" t="s">
        <v>85</v>
      </c>
      <c r="K28">
        <v>0</v>
      </c>
      <c r="L28">
        <v>0</v>
      </c>
      <c r="M28">
        <v>0.003952</v>
      </c>
      <c r="N28">
        <v>4</v>
      </c>
      <c r="O28" s="2">
        <v>7.5e-5</v>
      </c>
      <c r="P28">
        <v>4</v>
      </c>
      <c r="Q28">
        <v>0.004675</v>
      </c>
      <c r="S28">
        <v>0.002739</v>
      </c>
      <c r="T28">
        <f t="shared" si="0"/>
        <v>1</v>
      </c>
      <c r="U28">
        <f t="shared" si="1"/>
        <v>0</v>
      </c>
    </row>
    <row r="29" spans="1:21">
      <c r="A29" t="s">
        <v>64</v>
      </c>
      <c r="B29">
        <v>146</v>
      </c>
      <c r="C29">
        <v>9828</v>
      </c>
      <c r="D29">
        <v>136</v>
      </c>
      <c r="E29">
        <v>8987</v>
      </c>
      <c r="F29">
        <v>0.001114</v>
      </c>
      <c r="G29">
        <v>8987</v>
      </c>
      <c r="H29">
        <v>0.081651</v>
      </c>
      <c r="I29">
        <v>8987</v>
      </c>
      <c r="J29">
        <v>2.86065</v>
      </c>
      <c r="K29">
        <v>3583</v>
      </c>
      <c r="L29">
        <v>503</v>
      </c>
      <c r="M29">
        <v>5.14841</v>
      </c>
      <c r="N29">
        <v>105</v>
      </c>
      <c r="O29">
        <v>0.002185</v>
      </c>
      <c r="P29">
        <v>105</v>
      </c>
      <c r="Q29">
        <v>8.36255</v>
      </c>
      <c r="S29">
        <v>6.34428</v>
      </c>
      <c r="T29">
        <f t="shared" si="0"/>
        <v>1</v>
      </c>
      <c r="U29">
        <f t="shared" si="1"/>
        <v>0</v>
      </c>
    </row>
    <row r="30" spans="1:21">
      <c r="A30" t="s">
        <v>65</v>
      </c>
      <c r="B30">
        <v>488</v>
      </c>
      <c r="C30">
        <v>71011</v>
      </c>
      <c r="D30">
        <v>400</v>
      </c>
      <c r="E30">
        <v>67926</v>
      </c>
      <c r="F30">
        <v>0.009544</v>
      </c>
      <c r="G30">
        <v>-1</v>
      </c>
      <c r="H30">
        <v>2.5016</v>
      </c>
      <c r="I30">
        <v>-1</v>
      </c>
      <c r="J30">
        <v>-1</v>
      </c>
      <c r="K30">
        <v>0</v>
      </c>
      <c r="L30">
        <v>0</v>
      </c>
      <c r="M30">
        <v>-1</v>
      </c>
      <c r="N30">
        <v>158</v>
      </c>
      <c r="O30">
        <v>0.054476</v>
      </c>
      <c r="P30">
        <v>158</v>
      </c>
      <c r="Q30">
        <v>600</v>
      </c>
      <c r="S30">
        <v>600</v>
      </c>
      <c r="T30">
        <f t="shared" si="0"/>
        <v>0</v>
      </c>
      <c r="U30">
        <f t="shared" si="1"/>
        <v>0</v>
      </c>
    </row>
    <row r="31" spans="1:21">
      <c r="A31" t="s">
        <v>66</v>
      </c>
      <c r="B31">
        <v>1303</v>
      </c>
      <c r="C31">
        <v>531893</v>
      </c>
      <c r="D31">
        <v>1215</v>
      </c>
      <c r="E31">
        <v>527683</v>
      </c>
      <c r="F31">
        <v>0.090356</v>
      </c>
      <c r="G31">
        <v>527683</v>
      </c>
      <c r="H31">
        <v>71.3716</v>
      </c>
      <c r="I31">
        <v>527683</v>
      </c>
      <c r="J31">
        <v>284.001</v>
      </c>
      <c r="K31">
        <v>600</v>
      </c>
      <c r="L31">
        <v>0</v>
      </c>
      <c r="M31">
        <v>-1</v>
      </c>
      <c r="N31">
        <v>210</v>
      </c>
      <c r="O31">
        <v>1.31978</v>
      </c>
      <c r="P31">
        <v>210</v>
      </c>
      <c r="Q31">
        <v>600</v>
      </c>
      <c r="S31">
        <v>600</v>
      </c>
      <c r="T31">
        <f t="shared" si="0"/>
        <v>0</v>
      </c>
      <c r="U31">
        <f t="shared" si="1"/>
        <v>0</v>
      </c>
    </row>
    <row r="32" spans="1:21">
      <c r="A32" t="s">
        <v>67</v>
      </c>
      <c r="B32">
        <v>10972</v>
      </c>
      <c r="C32">
        <v>175573</v>
      </c>
      <c r="D32">
        <v>1746</v>
      </c>
      <c r="E32">
        <v>59515</v>
      </c>
      <c r="F32">
        <v>0.013652</v>
      </c>
      <c r="G32">
        <v>58445</v>
      </c>
      <c r="H32">
        <v>0.461656</v>
      </c>
      <c r="I32">
        <v>58435</v>
      </c>
      <c r="J32">
        <v>5.5789</v>
      </c>
      <c r="K32">
        <v>4253</v>
      </c>
      <c r="L32">
        <v>0</v>
      </c>
      <c r="M32">
        <v>-1</v>
      </c>
      <c r="N32">
        <v>41</v>
      </c>
      <c r="O32" s="2">
        <v>0.035792</v>
      </c>
      <c r="P32">
        <v>71</v>
      </c>
      <c r="Q32">
        <v>600</v>
      </c>
      <c r="S32">
        <v>600</v>
      </c>
      <c r="T32">
        <f t="shared" si="0"/>
        <v>0</v>
      </c>
      <c r="U32">
        <f t="shared" si="1"/>
        <v>0</v>
      </c>
    </row>
    <row r="33" spans="1:21">
      <c r="A33" t="s">
        <v>68</v>
      </c>
      <c r="B33">
        <v>113</v>
      </c>
      <c r="C33">
        <v>6222</v>
      </c>
      <c r="D33">
        <v>108</v>
      </c>
      <c r="E33">
        <v>5763</v>
      </c>
      <c r="F33">
        <v>0.000661</v>
      </c>
      <c r="G33">
        <v>5669</v>
      </c>
      <c r="H33">
        <v>0.038162</v>
      </c>
      <c r="I33">
        <v>5669</v>
      </c>
      <c r="J33">
        <v>0.50704</v>
      </c>
      <c r="K33">
        <v>2690</v>
      </c>
      <c r="L33">
        <v>265</v>
      </c>
      <c r="M33">
        <v>1.43949</v>
      </c>
      <c r="N33">
        <v>96</v>
      </c>
      <c r="O33">
        <v>0.000931</v>
      </c>
      <c r="P33">
        <v>96</v>
      </c>
      <c r="Q33">
        <v>2.01652</v>
      </c>
      <c r="S33">
        <v>5.29685</v>
      </c>
      <c r="T33">
        <f t="shared" si="0"/>
        <v>0</v>
      </c>
      <c r="U33">
        <f t="shared" si="1"/>
        <v>1</v>
      </c>
    </row>
    <row r="34" spans="1:21">
      <c r="A34" t="s">
        <v>69</v>
      </c>
      <c r="B34">
        <v>1206</v>
      </c>
      <c r="C34">
        <v>65990</v>
      </c>
      <c r="D34">
        <v>528</v>
      </c>
      <c r="E34">
        <v>56435</v>
      </c>
      <c r="F34">
        <v>0.00851</v>
      </c>
      <c r="G34">
        <v>54814</v>
      </c>
      <c r="H34">
        <v>1.39188</v>
      </c>
      <c r="I34">
        <v>54809</v>
      </c>
      <c r="J34">
        <v>166.067</v>
      </c>
      <c r="K34">
        <v>5480</v>
      </c>
      <c r="L34">
        <v>0</v>
      </c>
      <c r="M34">
        <v>-1</v>
      </c>
      <c r="N34">
        <v>79</v>
      </c>
      <c r="O34">
        <v>0.025575</v>
      </c>
      <c r="P34">
        <v>150</v>
      </c>
      <c r="Q34">
        <v>600</v>
      </c>
      <c r="S34">
        <v>600</v>
      </c>
      <c r="T34">
        <f t="shared" si="0"/>
        <v>0</v>
      </c>
      <c r="U34">
        <f t="shared" si="1"/>
        <v>0</v>
      </c>
    </row>
    <row r="35" spans="1:21">
      <c r="A35" t="s">
        <v>70</v>
      </c>
      <c r="B35">
        <v>17151</v>
      </c>
      <c r="C35">
        <v>24015</v>
      </c>
      <c r="D35">
        <v>270</v>
      </c>
      <c r="E35">
        <v>2200</v>
      </c>
      <c r="F35">
        <v>0.00178</v>
      </c>
      <c r="G35">
        <v>1514</v>
      </c>
      <c r="H35">
        <v>0.004692</v>
      </c>
      <c r="I35">
        <v>1506</v>
      </c>
      <c r="J35">
        <v>0.994645</v>
      </c>
      <c r="K35">
        <v>6086</v>
      </c>
      <c r="L35">
        <v>590</v>
      </c>
      <c r="M35">
        <v>1.04752</v>
      </c>
      <c r="N35">
        <v>10</v>
      </c>
      <c r="O35" s="2">
        <v>0.00607</v>
      </c>
      <c r="P35">
        <v>11</v>
      </c>
      <c r="Q35">
        <v>2.08634</v>
      </c>
      <c r="S35">
        <v>1.2278</v>
      </c>
      <c r="T35">
        <f t="shared" si="0"/>
        <v>1</v>
      </c>
      <c r="U35">
        <f t="shared" si="1"/>
        <v>0</v>
      </c>
    </row>
    <row r="36" spans="1:21">
      <c r="A36" t="s">
        <v>71</v>
      </c>
      <c r="B36">
        <v>72</v>
      </c>
      <c r="C36">
        <v>355</v>
      </c>
      <c r="D36">
        <v>18</v>
      </c>
      <c r="E36">
        <v>150</v>
      </c>
      <c r="F36" s="3" t="s">
        <v>73</v>
      </c>
      <c r="G36">
        <v>150</v>
      </c>
      <c r="H36">
        <v>0.000242</v>
      </c>
      <c r="I36">
        <v>150</v>
      </c>
      <c r="J36" s="3" t="s">
        <v>83</v>
      </c>
      <c r="K36">
        <v>1</v>
      </c>
      <c r="L36">
        <v>1</v>
      </c>
      <c r="M36">
        <v>0.023076</v>
      </c>
      <c r="N36">
        <v>15</v>
      </c>
      <c r="O36" s="3" t="s">
        <v>188</v>
      </c>
      <c r="P36">
        <v>15</v>
      </c>
      <c r="Q36">
        <v>0.033714</v>
      </c>
      <c r="S36">
        <v>0.011418</v>
      </c>
      <c r="T36">
        <f t="shared" si="0"/>
        <v>1</v>
      </c>
      <c r="U36">
        <f t="shared" si="1"/>
        <v>0</v>
      </c>
    </row>
    <row r="37" spans="1:21">
      <c r="A37" t="s">
        <v>74</v>
      </c>
      <c r="B37">
        <v>34</v>
      </c>
      <c r="C37">
        <v>96</v>
      </c>
      <c r="D37">
        <v>12</v>
      </c>
      <c r="E37">
        <v>53</v>
      </c>
      <c r="F37" s="3" t="s">
        <v>84</v>
      </c>
      <c r="G37">
        <v>53</v>
      </c>
      <c r="H37" s="3" t="s">
        <v>95</v>
      </c>
      <c r="I37">
        <v>53</v>
      </c>
      <c r="J37">
        <v>0.010507</v>
      </c>
      <c r="K37">
        <v>26</v>
      </c>
      <c r="L37">
        <v>5</v>
      </c>
      <c r="M37">
        <v>0.013223</v>
      </c>
      <c r="N37">
        <v>7</v>
      </c>
      <c r="O37" s="3" t="s">
        <v>84</v>
      </c>
      <c r="P37">
        <v>7</v>
      </c>
      <c r="Q37">
        <v>0.050509</v>
      </c>
      <c r="S37">
        <v>0.010362</v>
      </c>
      <c r="T37">
        <f t="shared" si="0"/>
        <v>1</v>
      </c>
      <c r="U37">
        <f t="shared" si="1"/>
        <v>0</v>
      </c>
    </row>
    <row r="38" spans="1:21">
      <c r="A38" t="s">
        <v>78</v>
      </c>
      <c r="B38">
        <v>72</v>
      </c>
      <c r="C38">
        <v>129</v>
      </c>
      <c r="D38">
        <v>12</v>
      </c>
      <c r="E38">
        <v>53</v>
      </c>
      <c r="F38" s="3" t="s">
        <v>77</v>
      </c>
      <c r="G38">
        <v>35</v>
      </c>
      <c r="H38" s="3" t="s">
        <v>76</v>
      </c>
      <c r="I38">
        <v>35</v>
      </c>
      <c r="J38">
        <v>0.009519</v>
      </c>
      <c r="K38">
        <v>14</v>
      </c>
      <c r="L38">
        <v>2</v>
      </c>
      <c r="M38">
        <v>0.007003</v>
      </c>
      <c r="N38">
        <v>7</v>
      </c>
      <c r="O38" s="3" t="s">
        <v>112</v>
      </c>
      <c r="P38">
        <v>7</v>
      </c>
      <c r="Q38">
        <v>0.026177</v>
      </c>
      <c r="S38">
        <v>0.010259</v>
      </c>
      <c r="T38">
        <f t="shared" si="0"/>
        <v>1</v>
      </c>
      <c r="U38">
        <f t="shared" si="1"/>
        <v>0</v>
      </c>
    </row>
    <row r="39" spans="1:21">
      <c r="A39" t="s">
        <v>80</v>
      </c>
      <c r="B39">
        <v>80</v>
      </c>
      <c r="C39">
        <v>226</v>
      </c>
      <c r="D39">
        <v>18</v>
      </c>
      <c r="E39">
        <v>103</v>
      </c>
      <c r="F39" s="3" t="s">
        <v>112</v>
      </c>
      <c r="G39">
        <v>80</v>
      </c>
      <c r="H39" s="3" t="s">
        <v>89</v>
      </c>
      <c r="I39">
        <v>80</v>
      </c>
      <c r="J39">
        <v>0.005806</v>
      </c>
      <c r="K39">
        <v>39</v>
      </c>
      <c r="L39">
        <v>9</v>
      </c>
      <c r="M39">
        <v>0.004344</v>
      </c>
      <c r="N39">
        <v>8</v>
      </c>
      <c r="O39" s="3" t="s">
        <v>112</v>
      </c>
      <c r="P39">
        <v>9</v>
      </c>
      <c r="Q39">
        <v>0.017956</v>
      </c>
      <c r="S39">
        <v>0.079668</v>
      </c>
      <c r="T39">
        <f t="shared" si="0"/>
        <v>0</v>
      </c>
      <c r="U39">
        <f t="shared" si="1"/>
        <v>1</v>
      </c>
    </row>
    <row r="40" spans="1:21">
      <c r="A40" t="s">
        <v>82</v>
      </c>
      <c r="B40">
        <v>34</v>
      </c>
      <c r="C40">
        <v>41</v>
      </c>
      <c r="D40">
        <v>6</v>
      </c>
      <c r="E40">
        <v>14</v>
      </c>
      <c r="F40" s="3" t="s">
        <v>31</v>
      </c>
      <c r="G40">
        <v>14</v>
      </c>
      <c r="H40" s="3" t="s">
        <v>59</v>
      </c>
      <c r="I40">
        <v>14</v>
      </c>
      <c r="J40" s="3" t="s">
        <v>40</v>
      </c>
      <c r="K40">
        <v>2</v>
      </c>
      <c r="L40">
        <v>2</v>
      </c>
      <c r="M40">
        <v>0.03844</v>
      </c>
      <c r="N40">
        <v>4</v>
      </c>
      <c r="O40" s="3" t="s">
        <v>59</v>
      </c>
      <c r="P40">
        <v>4</v>
      </c>
      <c r="Q40">
        <v>0.078808</v>
      </c>
      <c r="S40">
        <v>0.013381</v>
      </c>
      <c r="T40">
        <f t="shared" si="0"/>
        <v>1</v>
      </c>
      <c r="U40">
        <f t="shared" si="1"/>
        <v>0</v>
      </c>
    </row>
    <row r="41" spans="1:21">
      <c r="A41" t="s">
        <v>86</v>
      </c>
      <c r="B41">
        <v>31</v>
      </c>
      <c r="C41">
        <v>39</v>
      </c>
      <c r="D41">
        <v>6</v>
      </c>
      <c r="E41">
        <v>15</v>
      </c>
      <c r="F41" s="3" t="s">
        <v>25</v>
      </c>
      <c r="G41">
        <v>15</v>
      </c>
      <c r="H41" s="3" t="s">
        <v>79</v>
      </c>
      <c r="I41">
        <v>15</v>
      </c>
      <c r="J41" s="3" t="s">
        <v>40</v>
      </c>
      <c r="K41">
        <v>1</v>
      </c>
      <c r="L41">
        <v>1</v>
      </c>
      <c r="M41">
        <v>0.014717</v>
      </c>
      <c r="N41">
        <v>5</v>
      </c>
      <c r="O41" s="2">
        <v>1.1e-5</v>
      </c>
      <c r="P41">
        <v>5</v>
      </c>
      <c r="Q41">
        <v>0.021085</v>
      </c>
      <c r="S41">
        <v>0.012295</v>
      </c>
      <c r="T41">
        <f t="shared" si="0"/>
        <v>1</v>
      </c>
      <c r="U41">
        <f t="shared" si="1"/>
        <v>0</v>
      </c>
    </row>
    <row r="42" spans="1:21">
      <c r="A42" t="s">
        <v>87</v>
      </c>
      <c r="B42">
        <v>135</v>
      </c>
      <c r="C42">
        <v>1078</v>
      </c>
      <c r="D42">
        <v>37</v>
      </c>
      <c r="E42">
        <v>511</v>
      </c>
      <c r="F42" s="3" t="s">
        <v>41</v>
      </c>
      <c r="G42">
        <v>486</v>
      </c>
      <c r="H42">
        <v>0.000893</v>
      </c>
      <c r="I42">
        <v>486</v>
      </c>
      <c r="J42">
        <v>0.081399</v>
      </c>
      <c r="K42">
        <v>107</v>
      </c>
      <c r="L42">
        <v>11</v>
      </c>
      <c r="M42">
        <v>0.066892</v>
      </c>
      <c r="N42">
        <v>20</v>
      </c>
      <c r="O42" s="3" t="s">
        <v>89</v>
      </c>
      <c r="P42">
        <v>20</v>
      </c>
      <c r="Q42">
        <v>0.200429</v>
      </c>
      <c r="S42">
        <v>0.041688</v>
      </c>
      <c r="T42">
        <f t="shared" si="0"/>
        <v>1</v>
      </c>
      <c r="U42">
        <f t="shared" si="1"/>
        <v>0</v>
      </c>
    </row>
    <row r="43" spans="1:21">
      <c r="A43" t="s">
        <v>90</v>
      </c>
      <c r="B43">
        <v>13</v>
      </c>
      <c r="C43">
        <v>7</v>
      </c>
      <c r="D43">
        <v>1</v>
      </c>
      <c r="E43">
        <v>0</v>
      </c>
      <c r="F43" s="3" t="s">
        <v>40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0.002549</v>
      </c>
      <c r="N43">
        <v>2</v>
      </c>
      <c r="O43" s="3" t="s">
        <v>72</v>
      </c>
      <c r="P43">
        <v>2</v>
      </c>
      <c r="Q43">
        <v>0.007839</v>
      </c>
      <c r="S43">
        <v>0.005903</v>
      </c>
      <c r="T43">
        <f t="shared" si="0"/>
        <v>1</v>
      </c>
      <c r="U43">
        <f t="shared" si="1"/>
        <v>0</v>
      </c>
    </row>
    <row r="44" spans="1:21">
      <c r="A44" t="s">
        <v>92</v>
      </c>
      <c r="B44">
        <v>5</v>
      </c>
      <c r="C44">
        <v>6</v>
      </c>
      <c r="D44">
        <v>4</v>
      </c>
      <c r="E44">
        <v>5</v>
      </c>
      <c r="F44" s="3" t="s">
        <v>91</v>
      </c>
      <c r="G44">
        <v>5</v>
      </c>
      <c r="H44" s="3" t="s">
        <v>31</v>
      </c>
      <c r="I44">
        <v>5</v>
      </c>
      <c r="J44" s="3" t="s">
        <v>21</v>
      </c>
      <c r="K44">
        <v>2</v>
      </c>
      <c r="L44">
        <v>2</v>
      </c>
      <c r="M44">
        <v>0.01578</v>
      </c>
      <c r="N44">
        <v>2</v>
      </c>
      <c r="O44" s="3" t="s">
        <v>72</v>
      </c>
      <c r="P44">
        <v>2</v>
      </c>
      <c r="Q44">
        <v>0.025448</v>
      </c>
      <c r="S44">
        <v>0.01747</v>
      </c>
      <c r="T44">
        <f t="shared" si="0"/>
        <v>1</v>
      </c>
      <c r="U44">
        <f t="shared" si="1"/>
        <v>0</v>
      </c>
    </row>
    <row r="45" spans="1:21">
      <c r="A45" t="s">
        <v>93</v>
      </c>
      <c r="B45">
        <v>22</v>
      </c>
      <c r="C45">
        <v>12</v>
      </c>
      <c r="D45">
        <v>2</v>
      </c>
      <c r="E45">
        <v>1</v>
      </c>
      <c r="F45" s="3" t="s">
        <v>40</v>
      </c>
      <c r="G45">
        <v>0</v>
      </c>
      <c r="H45" s="3" t="s">
        <v>40</v>
      </c>
      <c r="I45">
        <v>0</v>
      </c>
      <c r="J45">
        <v>0</v>
      </c>
      <c r="K45">
        <v>0</v>
      </c>
      <c r="L45">
        <v>0</v>
      </c>
      <c r="M45">
        <v>0.005368</v>
      </c>
      <c r="N45">
        <v>2</v>
      </c>
      <c r="O45" s="3" t="s">
        <v>83</v>
      </c>
      <c r="P45">
        <v>2</v>
      </c>
      <c r="Q45">
        <v>0.024735</v>
      </c>
      <c r="S45">
        <v>0.005495</v>
      </c>
      <c r="T45">
        <f t="shared" si="0"/>
        <v>1</v>
      </c>
      <c r="U45">
        <f t="shared" si="1"/>
        <v>0</v>
      </c>
    </row>
    <row r="46" spans="1:21">
      <c r="A46" t="s">
        <v>94</v>
      </c>
      <c r="B46">
        <v>62</v>
      </c>
      <c r="C46">
        <v>442</v>
      </c>
      <c r="D46">
        <v>22</v>
      </c>
      <c r="E46">
        <v>207</v>
      </c>
      <c r="F46" s="3" t="s">
        <v>161</v>
      </c>
      <c r="G46">
        <v>168</v>
      </c>
      <c r="H46">
        <v>0.000233</v>
      </c>
      <c r="I46">
        <v>168</v>
      </c>
      <c r="J46">
        <v>0.012209</v>
      </c>
      <c r="K46">
        <v>29</v>
      </c>
      <c r="L46">
        <v>2</v>
      </c>
      <c r="M46">
        <v>0.01312</v>
      </c>
      <c r="N46">
        <v>16</v>
      </c>
      <c r="O46" s="3" t="s">
        <v>177</v>
      </c>
      <c r="P46">
        <v>16</v>
      </c>
      <c r="Q46">
        <v>0.03637</v>
      </c>
      <c r="S46">
        <v>0.019709</v>
      </c>
      <c r="T46">
        <f t="shared" si="0"/>
        <v>1</v>
      </c>
      <c r="U46">
        <f t="shared" si="1"/>
        <v>0</v>
      </c>
    </row>
    <row r="47" spans="1:21">
      <c r="A47" t="s">
        <v>96</v>
      </c>
      <c r="B47">
        <v>21</v>
      </c>
      <c r="C47">
        <v>23</v>
      </c>
      <c r="D47">
        <v>6</v>
      </c>
      <c r="E47">
        <v>15</v>
      </c>
      <c r="F47" s="3" t="s">
        <v>72</v>
      </c>
      <c r="G47">
        <v>15</v>
      </c>
      <c r="H47" s="3" t="s">
        <v>84</v>
      </c>
      <c r="I47">
        <v>15</v>
      </c>
      <c r="J47" s="3" t="s">
        <v>21</v>
      </c>
      <c r="K47">
        <v>1</v>
      </c>
      <c r="L47">
        <v>1</v>
      </c>
      <c r="M47">
        <v>0.017694</v>
      </c>
      <c r="N47">
        <v>5</v>
      </c>
      <c r="O47" s="3" t="s">
        <v>83</v>
      </c>
      <c r="P47">
        <v>5</v>
      </c>
      <c r="Q47">
        <v>0.028929</v>
      </c>
      <c r="S47">
        <v>0.013969</v>
      </c>
      <c r="T47">
        <f t="shared" si="0"/>
        <v>1</v>
      </c>
      <c r="U47">
        <f t="shared" si="1"/>
        <v>0</v>
      </c>
    </row>
    <row r="48" spans="1:21">
      <c r="A48" t="s">
        <v>97</v>
      </c>
      <c r="B48">
        <v>10</v>
      </c>
      <c r="C48">
        <v>5</v>
      </c>
      <c r="D48">
        <v>0</v>
      </c>
      <c r="E48">
        <v>0</v>
      </c>
      <c r="F48" s="3" t="s">
        <v>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0.002632</v>
      </c>
      <c r="N48">
        <v>2</v>
      </c>
      <c r="O48" s="2">
        <v>4e-6</v>
      </c>
      <c r="P48">
        <v>2</v>
      </c>
      <c r="Q48">
        <v>0.007143</v>
      </c>
      <c r="S48">
        <v>0.010589</v>
      </c>
      <c r="T48">
        <f t="shared" si="0"/>
        <v>0</v>
      </c>
      <c r="U48">
        <f t="shared" si="1"/>
        <v>1</v>
      </c>
    </row>
    <row r="49" spans="1:21">
      <c r="A49" t="s">
        <v>98</v>
      </c>
      <c r="B49">
        <v>27</v>
      </c>
      <c r="C49">
        <v>26</v>
      </c>
      <c r="D49">
        <v>12</v>
      </c>
      <c r="E49">
        <v>16</v>
      </c>
      <c r="F49" s="3" t="s">
        <v>83</v>
      </c>
      <c r="G49">
        <v>13</v>
      </c>
      <c r="H49" s="3" t="s">
        <v>99</v>
      </c>
      <c r="I49">
        <v>10</v>
      </c>
      <c r="J49">
        <v>0.011526</v>
      </c>
      <c r="K49">
        <v>2</v>
      </c>
      <c r="L49">
        <v>2</v>
      </c>
      <c r="M49">
        <v>0.019653</v>
      </c>
      <c r="N49">
        <v>2</v>
      </c>
      <c r="O49" s="3" t="s">
        <v>31</v>
      </c>
      <c r="P49">
        <v>3</v>
      </c>
      <c r="Q49">
        <v>0.039968</v>
      </c>
      <c r="S49">
        <v>0.009059</v>
      </c>
      <c r="T49">
        <f t="shared" si="0"/>
        <v>1</v>
      </c>
      <c r="U49">
        <f t="shared" si="1"/>
        <v>0</v>
      </c>
    </row>
    <row r="50" spans="1:21">
      <c r="A50" t="s">
        <v>100</v>
      </c>
      <c r="B50">
        <v>273</v>
      </c>
      <c r="C50">
        <v>4510</v>
      </c>
      <c r="D50">
        <v>106</v>
      </c>
      <c r="E50">
        <v>3008</v>
      </c>
      <c r="F50">
        <v>0.000372</v>
      </c>
      <c r="G50">
        <v>3008</v>
      </c>
      <c r="H50">
        <v>0.011642</v>
      </c>
      <c r="I50">
        <v>3008</v>
      </c>
      <c r="J50">
        <v>1.05539</v>
      </c>
      <c r="K50">
        <v>3910</v>
      </c>
      <c r="L50">
        <v>928</v>
      </c>
      <c r="M50">
        <v>16.5106</v>
      </c>
      <c r="N50">
        <v>28</v>
      </c>
      <c r="O50" s="2">
        <v>0.000596</v>
      </c>
      <c r="P50">
        <v>35</v>
      </c>
      <c r="Q50">
        <v>17.5912</v>
      </c>
      <c r="S50">
        <v>1.1712</v>
      </c>
      <c r="T50">
        <f t="shared" si="0"/>
        <v>1</v>
      </c>
      <c r="U50">
        <f t="shared" si="1"/>
        <v>0</v>
      </c>
    </row>
    <row r="51" spans="1:21">
      <c r="A51" t="s">
        <v>101</v>
      </c>
      <c r="B51">
        <v>102</v>
      </c>
      <c r="C51">
        <v>108</v>
      </c>
      <c r="D51">
        <v>11</v>
      </c>
      <c r="E51">
        <v>33</v>
      </c>
      <c r="F51" s="3" t="s">
        <v>99</v>
      </c>
      <c r="G51">
        <v>33</v>
      </c>
      <c r="H51" s="3" t="s">
        <v>114</v>
      </c>
      <c r="I51">
        <v>33</v>
      </c>
      <c r="J51">
        <v>0.00611</v>
      </c>
      <c r="K51">
        <v>9</v>
      </c>
      <c r="L51">
        <v>3</v>
      </c>
      <c r="M51">
        <v>0.017975</v>
      </c>
      <c r="N51">
        <v>4</v>
      </c>
      <c r="O51" s="2">
        <v>1.3e-5</v>
      </c>
      <c r="P51">
        <v>5</v>
      </c>
      <c r="Q51">
        <v>0.047632</v>
      </c>
      <c r="S51">
        <v>0.013521</v>
      </c>
      <c r="T51">
        <f t="shared" si="0"/>
        <v>1</v>
      </c>
      <c r="U51">
        <f t="shared" si="1"/>
        <v>0</v>
      </c>
    </row>
    <row r="52" spans="1:21">
      <c r="A52" t="s">
        <v>103</v>
      </c>
      <c r="B52">
        <v>8</v>
      </c>
      <c r="C52">
        <v>4</v>
      </c>
      <c r="D52">
        <v>0</v>
      </c>
      <c r="E52">
        <v>0</v>
      </c>
      <c r="F52" s="3" t="s">
        <v>91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0.003709</v>
      </c>
      <c r="N52">
        <v>2</v>
      </c>
      <c r="O52" s="3" t="s">
        <v>31</v>
      </c>
      <c r="P52">
        <v>2</v>
      </c>
      <c r="Q52">
        <v>0.014579</v>
      </c>
      <c r="S52">
        <v>0.004627</v>
      </c>
      <c r="T52">
        <f t="shared" si="0"/>
        <v>1</v>
      </c>
      <c r="U52">
        <f t="shared" si="1"/>
        <v>0</v>
      </c>
    </row>
    <row r="53" spans="1:21">
      <c r="A53" t="s">
        <v>104</v>
      </c>
      <c r="B53">
        <v>55</v>
      </c>
      <c r="C53">
        <v>60</v>
      </c>
      <c r="D53">
        <v>8</v>
      </c>
      <c r="E53">
        <v>20</v>
      </c>
      <c r="F53" s="3" t="s">
        <v>85</v>
      </c>
      <c r="G53">
        <v>10</v>
      </c>
      <c r="H53" s="3" t="s">
        <v>75</v>
      </c>
      <c r="I53">
        <v>10</v>
      </c>
      <c r="J53">
        <v>0.006684</v>
      </c>
      <c r="K53">
        <v>7</v>
      </c>
      <c r="L53">
        <v>1</v>
      </c>
      <c r="M53">
        <v>0.010067</v>
      </c>
      <c r="N53">
        <v>4</v>
      </c>
      <c r="O53" s="3" t="s">
        <v>59</v>
      </c>
      <c r="P53">
        <v>4</v>
      </c>
      <c r="Q53">
        <v>0.023812</v>
      </c>
      <c r="S53">
        <v>0.010118</v>
      </c>
      <c r="T53">
        <f t="shared" si="0"/>
        <v>1</v>
      </c>
      <c r="U53">
        <f t="shared" si="1"/>
        <v>0</v>
      </c>
    </row>
    <row r="54" spans="1:21">
      <c r="A54" t="s">
        <v>105</v>
      </c>
      <c r="B54">
        <v>127</v>
      </c>
      <c r="C54">
        <v>931</v>
      </c>
      <c r="D54">
        <v>42</v>
      </c>
      <c r="E54">
        <v>509</v>
      </c>
      <c r="F54">
        <v>0.000101</v>
      </c>
      <c r="G54">
        <v>504</v>
      </c>
      <c r="H54">
        <v>0.001254</v>
      </c>
      <c r="I54">
        <v>504</v>
      </c>
      <c r="J54">
        <v>0.043409</v>
      </c>
      <c r="K54">
        <v>218</v>
      </c>
      <c r="L54">
        <v>31</v>
      </c>
      <c r="M54">
        <v>0.019826</v>
      </c>
      <c r="N54">
        <v>15</v>
      </c>
      <c r="O54" s="2">
        <v>0.000104</v>
      </c>
      <c r="P54">
        <v>16</v>
      </c>
      <c r="Q54">
        <v>0.072831</v>
      </c>
      <c r="S54">
        <v>0.048236</v>
      </c>
      <c r="T54">
        <f t="shared" si="0"/>
        <v>1</v>
      </c>
      <c r="U54">
        <f t="shared" si="1"/>
        <v>0</v>
      </c>
    </row>
    <row r="55" spans="1:21">
      <c r="A55" t="s">
        <v>107</v>
      </c>
      <c r="B55">
        <v>16</v>
      </c>
      <c r="C55">
        <v>13</v>
      </c>
      <c r="D55">
        <v>5</v>
      </c>
      <c r="E55">
        <v>5</v>
      </c>
      <c r="F55" s="3" t="s">
        <v>91</v>
      </c>
      <c r="G55">
        <v>5</v>
      </c>
      <c r="H55" s="3" t="s">
        <v>72</v>
      </c>
      <c r="I55">
        <v>5</v>
      </c>
      <c r="J55">
        <v>0</v>
      </c>
      <c r="K55">
        <v>2</v>
      </c>
      <c r="L55">
        <v>2</v>
      </c>
      <c r="M55">
        <v>0.027866</v>
      </c>
      <c r="N55">
        <v>2</v>
      </c>
      <c r="O55" s="2">
        <v>4e-6</v>
      </c>
      <c r="P55">
        <v>2</v>
      </c>
      <c r="Q55">
        <v>0.036423</v>
      </c>
      <c r="S55">
        <v>0.022265</v>
      </c>
      <c r="T55">
        <f t="shared" si="0"/>
        <v>1</v>
      </c>
      <c r="U55">
        <f t="shared" si="1"/>
        <v>0</v>
      </c>
    </row>
    <row r="56" spans="1:21">
      <c r="A56" t="s">
        <v>108</v>
      </c>
      <c r="B56">
        <v>35</v>
      </c>
      <c r="C56">
        <v>368</v>
      </c>
      <c r="D56">
        <v>27</v>
      </c>
      <c r="E56">
        <v>351</v>
      </c>
      <c r="F56" s="3" t="s">
        <v>167</v>
      </c>
      <c r="G56">
        <v>351</v>
      </c>
      <c r="H56">
        <v>0.000509</v>
      </c>
      <c r="I56">
        <v>351</v>
      </c>
      <c r="J56" s="3" t="s">
        <v>85</v>
      </c>
      <c r="K56">
        <v>1</v>
      </c>
      <c r="L56">
        <v>1</v>
      </c>
      <c r="M56">
        <v>0.029345</v>
      </c>
      <c r="N56">
        <v>26</v>
      </c>
      <c r="O56" s="3" t="s">
        <v>39</v>
      </c>
      <c r="P56">
        <v>26</v>
      </c>
      <c r="Q56">
        <v>0.038042</v>
      </c>
      <c r="S56">
        <v>0.014426</v>
      </c>
      <c r="T56">
        <f t="shared" si="0"/>
        <v>1</v>
      </c>
      <c r="U56">
        <f t="shared" si="1"/>
        <v>0</v>
      </c>
    </row>
    <row r="57" spans="1:21">
      <c r="A57" t="s">
        <v>109</v>
      </c>
      <c r="B57">
        <v>26</v>
      </c>
      <c r="C57">
        <v>15</v>
      </c>
      <c r="D57">
        <v>3</v>
      </c>
      <c r="E57">
        <v>1</v>
      </c>
      <c r="F57" s="3" t="s">
        <v>31</v>
      </c>
      <c r="G57">
        <v>0</v>
      </c>
      <c r="H57" s="3" t="s">
        <v>83</v>
      </c>
      <c r="I57">
        <v>0</v>
      </c>
      <c r="J57" s="3" t="s">
        <v>21</v>
      </c>
      <c r="K57">
        <v>0</v>
      </c>
      <c r="L57">
        <v>0</v>
      </c>
      <c r="M57">
        <v>0.004413</v>
      </c>
      <c r="N57">
        <v>2</v>
      </c>
      <c r="O57" s="3" t="s">
        <v>84</v>
      </c>
      <c r="P57">
        <v>2</v>
      </c>
      <c r="Q57">
        <v>0.012514</v>
      </c>
      <c r="S57">
        <v>0.014009</v>
      </c>
      <c r="T57">
        <f t="shared" si="0"/>
        <v>0</v>
      </c>
      <c r="U57">
        <f t="shared" si="1"/>
        <v>1</v>
      </c>
    </row>
    <row r="58" spans="1:21">
      <c r="A58" t="s">
        <v>110</v>
      </c>
      <c r="B58">
        <v>14</v>
      </c>
      <c r="C58">
        <v>11</v>
      </c>
      <c r="D58">
        <v>5</v>
      </c>
      <c r="E58">
        <v>3</v>
      </c>
      <c r="F58" s="3" t="s">
        <v>31</v>
      </c>
      <c r="G58">
        <v>3</v>
      </c>
      <c r="H58" s="3" t="s">
        <v>85</v>
      </c>
      <c r="I58">
        <v>3</v>
      </c>
      <c r="J58" s="3" t="s">
        <v>40</v>
      </c>
      <c r="K58">
        <v>1</v>
      </c>
      <c r="L58">
        <v>1</v>
      </c>
      <c r="M58">
        <v>0.020532</v>
      </c>
      <c r="N58">
        <v>2</v>
      </c>
      <c r="O58" s="2">
        <v>8e-6</v>
      </c>
      <c r="P58">
        <v>2</v>
      </c>
      <c r="Q58">
        <v>0.041339</v>
      </c>
      <c r="S58">
        <v>0.010476</v>
      </c>
      <c r="T58">
        <f t="shared" si="0"/>
        <v>1</v>
      </c>
      <c r="U58">
        <f t="shared" si="1"/>
        <v>0</v>
      </c>
    </row>
    <row r="59" spans="1:21">
      <c r="A59" t="s">
        <v>111</v>
      </c>
      <c r="B59">
        <v>28</v>
      </c>
      <c r="C59">
        <v>91</v>
      </c>
      <c r="D59">
        <v>12</v>
      </c>
      <c r="E59">
        <v>55</v>
      </c>
      <c r="F59" s="3" t="s">
        <v>59</v>
      </c>
      <c r="G59">
        <v>55</v>
      </c>
      <c r="H59" s="3" t="s">
        <v>166</v>
      </c>
      <c r="I59">
        <v>55</v>
      </c>
      <c r="J59">
        <v>0.006123</v>
      </c>
      <c r="K59">
        <v>25</v>
      </c>
      <c r="L59">
        <v>4</v>
      </c>
      <c r="M59">
        <v>0.008389</v>
      </c>
      <c r="N59">
        <v>7</v>
      </c>
      <c r="O59" s="3" t="s">
        <v>59</v>
      </c>
      <c r="P59">
        <v>7</v>
      </c>
      <c r="Q59">
        <v>0.020308</v>
      </c>
      <c r="S59">
        <v>0.00804</v>
      </c>
      <c r="T59">
        <f t="shared" si="0"/>
        <v>1</v>
      </c>
      <c r="U59">
        <f t="shared" si="1"/>
        <v>0</v>
      </c>
    </row>
    <row r="60" spans="1:21">
      <c r="A60" t="s">
        <v>115</v>
      </c>
      <c r="B60">
        <v>26</v>
      </c>
      <c r="C60">
        <v>18</v>
      </c>
      <c r="D60">
        <v>6</v>
      </c>
      <c r="E60">
        <v>6</v>
      </c>
      <c r="F60" s="3" t="s">
        <v>91</v>
      </c>
      <c r="G60">
        <v>5</v>
      </c>
      <c r="H60" s="3" t="s">
        <v>72</v>
      </c>
      <c r="I60">
        <v>4</v>
      </c>
      <c r="J60">
        <v>0.00495</v>
      </c>
      <c r="K60">
        <v>1</v>
      </c>
      <c r="L60">
        <v>1</v>
      </c>
      <c r="M60">
        <v>0.012206</v>
      </c>
      <c r="N60">
        <v>2</v>
      </c>
      <c r="O60" s="2">
        <v>5e-6</v>
      </c>
      <c r="P60">
        <v>2</v>
      </c>
      <c r="Q60">
        <v>0.027515</v>
      </c>
      <c r="S60">
        <v>0.009031</v>
      </c>
      <c r="T60">
        <f t="shared" si="0"/>
        <v>1</v>
      </c>
      <c r="U60">
        <f t="shared" si="1"/>
        <v>0</v>
      </c>
    </row>
    <row r="61" spans="1:21">
      <c r="A61" t="s">
        <v>116</v>
      </c>
      <c r="B61">
        <v>13</v>
      </c>
      <c r="C61">
        <v>8</v>
      </c>
      <c r="D61">
        <v>2</v>
      </c>
      <c r="E61">
        <v>1</v>
      </c>
      <c r="F61" s="3" t="s">
        <v>91</v>
      </c>
      <c r="G61">
        <v>0</v>
      </c>
      <c r="H61" s="3" t="s">
        <v>91</v>
      </c>
      <c r="I61">
        <v>0</v>
      </c>
      <c r="J61">
        <v>0</v>
      </c>
      <c r="K61">
        <v>0</v>
      </c>
      <c r="L61">
        <v>0</v>
      </c>
      <c r="M61">
        <v>0.003655</v>
      </c>
      <c r="N61">
        <v>2</v>
      </c>
      <c r="O61" s="2">
        <v>6e-6</v>
      </c>
      <c r="P61">
        <v>2</v>
      </c>
      <c r="Q61">
        <v>0.010706</v>
      </c>
      <c r="S61">
        <v>0.005796</v>
      </c>
      <c r="T61">
        <f t="shared" si="0"/>
        <v>1</v>
      </c>
      <c r="U61">
        <f t="shared" si="1"/>
        <v>0</v>
      </c>
    </row>
    <row r="62" spans="1:21">
      <c r="A62" t="s">
        <v>117</v>
      </c>
      <c r="B62">
        <v>18</v>
      </c>
      <c r="C62">
        <v>12</v>
      </c>
      <c r="D62">
        <v>5</v>
      </c>
      <c r="E62">
        <v>3</v>
      </c>
      <c r="F62" s="3" t="s">
        <v>91</v>
      </c>
      <c r="G62">
        <v>3</v>
      </c>
      <c r="H62" s="3" t="s">
        <v>91</v>
      </c>
      <c r="I62">
        <v>3</v>
      </c>
      <c r="J62" s="3" t="s">
        <v>21</v>
      </c>
      <c r="K62">
        <v>1</v>
      </c>
      <c r="L62">
        <v>1</v>
      </c>
      <c r="M62">
        <v>0.010056</v>
      </c>
      <c r="N62">
        <v>2</v>
      </c>
      <c r="O62" s="3" t="s">
        <v>72</v>
      </c>
      <c r="P62">
        <v>2</v>
      </c>
      <c r="Q62">
        <v>0.017277</v>
      </c>
      <c r="S62">
        <v>0.014331</v>
      </c>
      <c r="T62">
        <f t="shared" si="0"/>
        <v>1</v>
      </c>
      <c r="U62">
        <f t="shared" si="1"/>
        <v>0</v>
      </c>
    </row>
    <row r="63" spans="1:21">
      <c r="A63" t="s">
        <v>118</v>
      </c>
      <c r="B63">
        <v>7</v>
      </c>
      <c r="C63">
        <v>5</v>
      </c>
      <c r="D63">
        <v>3</v>
      </c>
      <c r="E63">
        <v>3</v>
      </c>
      <c r="F63" s="3" t="s">
        <v>40</v>
      </c>
      <c r="G63">
        <v>3</v>
      </c>
      <c r="H63" s="3" t="s">
        <v>91</v>
      </c>
      <c r="I63">
        <v>3</v>
      </c>
      <c r="J63">
        <v>0</v>
      </c>
      <c r="K63">
        <v>1</v>
      </c>
      <c r="L63">
        <v>1</v>
      </c>
      <c r="M63">
        <v>0.021838</v>
      </c>
      <c r="N63">
        <v>2</v>
      </c>
      <c r="O63" s="3" t="s">
        <v>40</v>
      </c>
      <c r="P63">
        <v>2</v>
      </c>
      <c r="Q63">
        <v>0.041173</v>
      </c>
      <c r="S63">
        <v>0.016298</v>
      </c>
      <c r="T63">
        <f t="shared" si="0"/>
        <v>1</v>
      </c>
      <c r="U63">
        <f t="shared" si="1"/>
        <v>0</v>
      </c>
    </row>
    <row r="64" spans="1:21">
      <c r="A64" t="s">
        <v>119</v>
      </c>
      <c r="B64">
        <v>2623</v>
      </c>
      <c r="C64">
        <v>473614</v>
      </c>
      <c r="D64">
        <v>1314</v>
      </c>
      <c r="E64">
        <v>458051</v>
      </c>
      <c r="F64">
        <v>0.072695</v>
      </c>
      <c r="G64">
        <v>457984</v>
      </c>
      <c r="H64">
        <v>51.0645</v>
      </c>
      <c r="I64">
        <v>457984</v>
      </c>
      <c r="J64">
        <v>489.436</v>
      </c>
      <c r="K64">
        <v>600</v>
      </c>
      <c r="L64">
        <v>0</v>
      </c>
      <c r="M64">
        <v>-1</v>
      </c>
      <c r="N64">
        <v>137</v>
      </c>
      <c r="O64">
        <v>1.07697</v>
      </c>
      <c r="P64">
        <v>137</v>
      </c>
      <c r="Q64">
        <v>600</v>
      </c>
      <c r="S64">
        <v>600</v>
      </c>
      <c r="T64">
        <f t="shared" si="0"/>
        <v>0</v>
      </c>
      <c r="U64">
        <f t="shared" si="1"/>
        <v>0</v>
      </c>
    </row>
    <row r="65" spans="1:21">
      <c r="A65" t="s">
        <v>120</v>
      </c>
      <c r="B65">
        <v>56739</v>
      </c>
      <c r="C65">
        <v>212945</v>
      </c>
      <c r="D65">
        <v>10374</v>
      </c>
      <c r="E65">
        <v>118306</v>
      </c>
      <c r="F65">
        <v>0.023403</v>
      </c>
      <c r="G65">
        <v>47821</v>
      </c>
      <c r="H65">
        <v>0.230983</v>
      </c>
      <c r="I65">
        <v>47630</v>
      </c>
      <c r="J65">
        <v>0.435878</v>
      </c>
      <c r="K65">
        <v>5976</v>
      </c>
      <c r="L65">
        <v>0</v>
      </c>
      <c r="M65">
        <v>-1</v>
      </c>
      <c r="N65">
        <v>7</v>
      </c>
      <c r="O65">
        <v>0.018529</v>
      </c>
      <c r="P65">
        <v>26</v>
      </c>
      <c r="Q65">
        <v>600</v>
      </c>
      <c r="S65">
        <v>600</v>
      </c>
      <c r="T65">
        <f t="shared" si="0"/>
        <v>0</v>
      </c>
      <c r="U65">
        <f t="shared" si="1"/>
        <v>0</v>
      </c>
    </row>
    <row r="66" spans="1:21">
      <c r="A66" t="s">
        <v>121</v>
      </c>
      <c r="B66">
        <v>62</v>
      </c>
      <c r="C66">
        <v>159</v>
      </c>
      <c r="D66">
        <v>31</v>
      </c>
      <c r="E66">
        <v>90</v>
      </c>
      <c r="F66" s="3" t="s">
        <v>167</v>
      </c>
      <c r="G66">
        <v>0</v>
      </c>
      <c r="H66" s="3" t="s">
        <v>182</v>
      </c>
      <c r="I66">
        <v>0</v>
      </c>
      <c r="J66" s="3" t="s">
        <v>21</v>
      </c>
      <c r="K66">
        <v>0</v>
      </c>
      <c r="L66">
        <v>0</v>
      </c>
      <c r="M66">
        <v>0.00327</v>
      </c>
      <c r="N66">
        <v>5</v>
      </c>
      <c r="O66" s="3" t="s">
        <v>177</v>
      </c>
      <c r="P66">
        <v>5</v>
      </c>
      <c r="Q66">
        <v>0.009849</v>
      </c>
      <c r="S66">
        <v>0.007383</v>
      </c>
      <c r="T66">
        <f t="shared" ref="T66:T96" si="2">IF(S66&lt;Q66,1,0)</f>
        <v>1</v>
      </c>
      <c r="U66">
        <f t="shared" ref="U66:U96" si="3">IF(Q66&lt;S66,1,0)</f>
        <v>0</v>
      </c>
    </row>
    <row r="67" spans="1:21">
      <c r="A67" t="s">
        <v>124</v>
      </c>
      <c r="B67">
        <v>154908</v>
      </c>
      <c r="C67">
        <v>327162</v>
      </c>
      <c r="D67">
        <v>29489</v>
      </c>
      <c r="E67">
        <v>179659</v>
      </c>
      <c r="F67">
        <v>0.044893</v>
      </c>
      <c r="G67">
        <v>23461</v>
      </c>
      <c r="H67">
        <v>0.147248</v>
      </c>
      <c r="I67">
        <v>23119</v>
      </c>
      <c r="J67">
        <v>0.113336</v>
      </c>
      <c r="K67">
        <v>3864</v>
      </c>
      <c r="L67">
        <v>0</v>
      </c>
      <c r="M67">
        <v>-1</v>
      </c>
      <c r="N67">
        <v>3</v>
      </c>
      <c r="O67" s="2">
        <v>0.034917</v>
      </c>
      <c r="P67">
        <v>4</v>
      </c>
      <c r="Q67">
        <v>600</v>
      </c>
      <c r="S67">
        <v>600</v>
      </c>
      <c r="T67">
        <f t="shared" si="2"/>
        <v>0</v>
      </c>
      <c r="U67">
        <f t="shared" si="3"/>
        <v>0</v>
      </c>
    </row>
    <row r="68" spans="1:21">
      <c r="A68" t="s">
        <v>125</v>
      </c>
      <c r="B68">
        <v>26588</v>
      </c>
      <c r="C68">
        <v>100120</v>
      </c>
      <c r="D68">
        <v>5212</v>
      </c>
      <c r="E68">
        <v>64043</v>
      </c>
      <c r="F68">
        <v>0.012803</v>
      </c>
      <c r="G68">
        <v>25100</v>
      </c>
      <c r="H68">
        <v>0.122222</v>
      </c>
      <c r="I68">
        <v>24795</v>
      </c>
      <c r="J68">
        <v>0.803331</v>
      </c>
      <c r="K68">
        <v>3767</v>
      </c>
      <c r="L68">
        <v>0</v>
      </c>
      <c r="M68">
        <v>-1</v>
      </c>
      <c r="N68">
        <v>6</v>
      </c>
      <c r="O68">
        <v>0.010164</v>
      </c>
      <c r="P68">
        <v>9</v>
      </c>
      <c r="Q68">
        <v>600</v>
      </c>
      <c r="S68">
        <v>600</v>
      </c>
      <c r="T68">
        <f t="shared" si="2"/>
        <v>0</v>
      </c>
      <c r="U68">
        <f t="shared" si="3"/>
        <v>0</v>
      </c>
    </row>
    <row r="69" spans="1:21">
      <c r="A69" t="s">
        <v>126</v>
      </c>
      <c r="B69">
        <v>22900</v>
      </c>
      <c r="C69">
        <v>852419</v>
      </c>
      <c r="D69">
        <v>19364</v>
      </c>
      <c r="E69">
        <v>834920</v>
      </c>
      <c r="F69">
        <v>0.172778</v>
      </c>
      <c r="G69">
        <v>444557</v>
      </c>
      <c r="H69">
        <v>6.90642</v>
      </c>
      <c r="I69">
        <v>444261</v>
      </c>
      <c r="J69">
        <v>0.789973</v>
      </c>
      <c r="K69">
        <v>304</v>
      </c>
      <c r="L69">
        <v>0</v>
      </c>
      <c r="M69">
        <v>-1</v>
      </c>
      <c r="N69">
        <v>12</v>
      </c>
      <c r="O69">
        <v>0.18827</v>
      </c>
      <c r="P69">
        <v>12</v>
      </c>
      <c r="Q69">
        <v>600</v>
      </c>
      <c r="S69">
        <v>600</v>
      </c>
      <c r="T69">
        <f t="shared" si="2"/>
        <v>0</v>
      </c>
      <c r="U69">
        <f t="shared" si="3"/>
        <v>0</v>
      </c>
    </row>
    <row r="70" spans="1:21">
      <c r="A70" t="s">
        <v>127</v>
      </c>
      <c r="B70">
        <v>6621</v>
      </c>
      <c r="C70">
        <v>249959</v>
      </c>
      <c r="D70">
        <v>5486</v>
      </c>
      <c r="E70">
        <v>243848</v>
      </c>
      <c r="F70">
        <v>0.039518</v>
      </c>
      <c r="G70">
        <v>165743</v>
      </c>
      <c r="H70">
        <v>1.8057</v>
      </c>
      <c r="I70">
        <v>165455</v>
      </c>
      <c r="J70">
        <v>0.562171</v>
      </c>
      <c r="K70">
        <v>1256</v>
      </c>
      <c r="L70">
        <v>0</v>
      </c>
      <c r="M70">
        <v>-1</v>
      </c>
      <c r="N70">
        <v>13</v>
      </c>
      <c r="O70">
        <v>0.039045</v>
      </c>
      <c r="P70">
        <v>43</v>
      </c>
      <c r="Q70">
        <v>600</v>
      </c>
      <c r="S70">
        <v>600</v>
      </c>
      <c r="T70">
        <f t="shared" si="2"/>
        <v>0</v>
      </c>
      <c r="U70">
        <f t="shared" si="3"/>
        <v>0</v>
      </c>
    </row>
    <row r="71" spans="1:21">
      <c r="A71" t="s">
        <v>128</v>
      </c>
      <c r="B71">
        <v>9885</v>
      </c>
      <c r="C71">
        <v>506437</v>
      </c>
      <c r="D71">
        <v>8666</v>
      </c>
      <c r="E71">
        <v>501331</v>
      </c>
      <c r="F71">
        <v>0.096501</v>
      </c>
      <c r="G71">
        <v>397241</v>
      </c>
      <c r="H71">
        <v>4.57655</v>
      </c>
      <c r="I71">
        <v>397000</v>
      </c>
      <c r="J71">
        <v>0.812342</v>
      </c>
      <c r="K71">
        <v>359</v>
      </c>
      <c r="L71">
        <v>0</v>
      </c>
      <c r="M71">
        <v>-1</v>
      </c>
      <c r="N71">
        <v>11</v>
      </c>
      <c r="O71" s="2">
        <v>0.105111</v>
      </c>
      <c r="P71">
        <v>11</v>
      </c>
      <c r="Q71">
        <v>600</v>
      </c>
      <c r="S71">
        <v>600</v>
      </c>
      <c r="T71">
        <f t="shared" si="2"/>
        <v>0</v>
      </c>
      <c r="U71">
        <f t="shared" si="3"/>
        <v>0</v>
      </c>
    </row>
    <row r="72" spans="1:21">
      <c r="A72" t="s">
        <v>129</v>
      </c>
      <c r="B72">
        <v>6402</v>
      </c>
      <c r="C72">
        <v>251230</v>
      </c>
      <c r="D72">
        <v>5133</v>
      </c>
      <c r="E72">
        <v>245074</v>
      </c>
      <c r="F72">
        <v>0.043346</v>
      </c>
      <c r="G72">
        <v>171592</v>
      </c>
      <c r="H72">
        <v>1.79191</v>
      </c>
      <c r="I72">
        <v>171304</v>
      </c>
      <c r="J72">
        <v>0.481256</v>
      </c>
      <c r="K72">
        <v>1269</v>
      </c>
      <c r="L72">
        <v>0</v>
      </c>
      <c r="M72">
        <v>-1</v>
      </c>
      <c r="N72">
        <v>13</v>
      </c>
      <c r="O72">
        <v>0.042547</v>
      </c>
      <c r="P72">
        <v>31</v>
      </c>
      <c r="Q72">
        <v>600</v>
      </c>
      <c r="S72">
        <v>600</v>
      </c>
      <c r="T72">
        <f t="shared" si="2"/>
        <v>0</v>
      </c>
      <c r="U72">
        <f t="shared" si="3"/>
        <v>0</v>
      </c>
    </row>
    <row r="73" spans="1:21">
      <c r="A73" t="s">
        <v>130</v>
      </c>
      <c r="B73">
        <v>63392</v>
      </c>
      <c r="C73">
        <v>816886</v>
      </c>
      <c r="D73">
        <v>31909</v>
      </c>
      <c r="E73">
        <v>713333</v>
      </c>
      <c r="F73">
        <v>0.147234</v>
      </c>
      <c r="G73">
        <v>368297</v>
      </c>
      <c r="H73">
        <v>2.60206</v>
      </c>
      <c r="I73">
        <v>368033</v>
      </c>
      <c r="J73">
        <v>0.414979</v>
      </c>
      <c r="K73">
        <v>673</v>
      </c>
      <c r="L73">
        <v>0</v>
      </c>
      <c r="M73">
        <v>-1</v>
      </c>
      <c r="N73">
        <v>9</v>
      </c>
      <c r="O73">
        <v>0.130237</v>
      </c>
      <c r="P73">
        <v>30</v>
      </c>
      <c r="Q73">
        <v>600</v>
      </c>
      <c r="S73">
        <v>600</v>
      </c>
      <c r="T73">
        <f t="shared" si="2"/>
        <v>0</v>
      </c>
      <c r="U73">
        <f t="shared" si="3"/>
        <v>0</v>
      </c>
    </row>
    <row r="74" spans="1:21">
      <c r="A74" t="s">
        <v>131</v>
      </c>
      <c r="B74">
        <v>11586</v>
      </c>
      <c r="C74">
        <v>568309</v>
      </c>
      <c r="D74">
        <v>9118</v>
      </c>
      <c r="E74">
        <v>556067</v>
      </c>
      <c r="F74">
        <v>0.108506</v>
      </c>
      <c r="G74">
        <v>409128</v>
      </c>
      <c r="H74">
        <v>5.50621</v>
      </c>
      <c r="I74">
        <v>408836</v>
      </c>
      <c r="J74">
        <v>1.23235</v>
      </c>
      <c r="K74">
        <v>308</v>
      </c>
      <c r="L74">
        <v>0</v>
      </c>
      <c r="M74">
        <v>-1</v>
      </c>
      <c r="N74">
        <v>13</v>
      </c>
      <c r="O74" s="2">
        <v>0.12982</v>
      </c>
      <c r="P74">
        <v>13</v>
      </c>
      <c r="Q74">
        <v>600</v>
      </c>
      <c r="S74">
        <v>600</v>
      </c>
      <c r="T74">
        <f t="shared" si="2"/>
        <v>0</v>
      </c>
      <c r="U74">
        <f t="shared" si="3"/>
        <v>0</v>
      </c>
    </row>
    <row r="75" spans="1:21">
      <c r="A75" t="s">
        <v>132</v>
      </c>
      <c r="B75">
        <v>20453</v>
      </c>
      <c r="C75">
        <v>747604</v>
      </c>
      <c r="D75">
        <v>16333</v>
      </c>
      <c r="E75">
        <v>724548</v>
      </c>
      <c r="F75">
        <v>0.126784</v>
      </c>
      <c r="G75">
        <v>388018</v>
      </c>
      <c r="H75">
        <v>5.13867</v>
      </c>
      <c r="I75">
        <v>387766</v>
      </c>
      <c r="J75">
        <v>0.782355</v>
      </c>
      <c r="K75">
        <v>348</v>
      </c>
      <c r="L75">
        <v>0</v>
      </c>
      <c r="M75">
        <v>-1</v>
      </c>
      <c r="N75">
        <v>13</v>
      </c>
      <c r="O75" s="2">
        <v>0.132105</v>
      </c>
      <c r="P75">
        <v>13</v>
      </c>
      <c r="Q75">
        <v>600</v>
      </c>
      <c r="S75">
        <v>600</v>
      </c>
      <c r="T75">
        <f t="shared" si="2"/>
        <v>0</v>
      </c>
      <c r="U75">
        <f t="shared" si="3"/>
        <v>0</v>
      </c>
    </row>
    <row r="76" spans="1:21">
      <c r="A76" t="s">
        <v>133</v>
      </c>
      <c r="B76">
        <v>17206</v>
      </c>
      <c r="C76">
        <v>604867</v>
      </c>
      <c r="D76">
        <v>15068</v>
      </c>
      <c r="E76">
        <v>593588</v>
      </c>
      <c r="F76">
        <v>0.118016</v>
      </c>
      <c r="G76">
        <v>273154</v>
      </c>
      <c r="H76">
        <v>3.69937</v>
      </c>
      <c r="I76">
        <v>272826</v>
      </c>
      <c r="J76">
        <v>0.711135</v>
      </c>
      <c r="K76">
        <v>545</v>
      </c>
      <c r="L76">
        <v>0</v>
      </c>
      <c r="M76">
        <v>-1</v>
      </c>
      <c r="N76">
        <v>12</v>
      </c>
      <c r="O76">
        <v>0.121588</v>
      </c>
      <c r="P76">
        <v>50</v>
      </c>
      <c r="Q76">
        <v>600</v>
      </c>
      <c r="S76">
        <v>600</v>
      </c>
      <c r="T76">
        <f t="shared" si="2"/>
        <v>0</v>
      </c>
      <c r="U76">
        <f t="shared" si="3"/>
        <v>0</v>
      </c>
    </row>
    <row r="77" spans="1:21">
      <c r="A77" t="s">
        <v>134</v>
      </c>
      <c r="B77">
        <v>14917</v>
      </c>
      <c r="C77">
        <v>482215</v>
      </c>
      <c r="D77">
        <v>11996</v>
      </c>
      <c r="E77">
        <v>464029</v>
      </c>
      <c r="F77">
        <v>0.094796</v>
      </c>
      <c r="G77">
        <v>212059</v>
      </c>
      <c r="H77">
        <v>3.35095</v>
      </c>
      <c r="I77">
        <v>211713</v>
      </c>
      <c r="J77">
        <v>1.41357</v>
      </c>
      <c r="K77">
        <v>765</v>
      </c>
      <c r="L77">
        <v>0</v>
      </c>
      <c r="M77">
        <v>-1</v>
      </c>
      <c r="N77">
        <v>14</v>
      </c>
      <c r="O77">
        <v>0.094269</v>
      </c>
      <c r="P77">
        <v>52</v>
      </c>
      <c r="Q77">
        <v>600</v>
      </c>
      <c r="S77">
        <v>600</v>
      </c>
      <c r="T77">
        <f t="shared" si="2"/>
        <v>0</v>
      </c>
      <c r="U77">
        <f t="shared" si="3"/>
        <v>0</v>
      </c>
    </row>
    <row r="78" spans="1:21">
      <c r="A78" t="s">
        <v>135</v>
      </c>
      <c r="B78">
        <v>23831</v>
      </c>
      <c r="C78">
        <v>835946</v>
      </c>
      <c r="D78">
        <v>20952</v>
      </c>
      <c r="E78">
        <v>821875</v>
      </c>
      <c r="F78">
        <v>0.148077</v>
      </c>
      <c r="G78">
        <v>442147</v>
      </c>
      <c r="H78">
        <v>5.48484</v>
      </c>
      <c r="I78">
        <v>441884</v>
      </c>
      <c r="J78">
        <v>0.925374</v>
      </c>
      <c r="K78">
        <v>337</v>
      </c>
      <c r="L78">
        <v>0</v>
      </c>
      <c r="M78">
        <v>-1</v>
      </c>
      <c r="N78">
        <v>11</v>
      </c>
      <c r="O78" s="2">
        <v>0.142544</v>
      </c>
      <c r="P78">
        <v>11</v>
      </c>
      <c r="Q78">
        <v>600</v>
      </c>
      <c r="S78">
        <v>600</v>
      </c>
      <c r="T78">
        <f t="shared" si="2"/>
        <v>0</v>
      </c>
      <c r="U78">
        <f t="shared" si="3"/>
        <v>0</v>
      </c>
    </row>
    <row r="79" spans="1:21">
      <c r="A79" t="s">
        <v>136</v>
      </c>
      <c r="B79">
        <v>196591</v>
      </c>
      <c r="C79">
        <v>950327</v>
      </c>
      <c r="D79">
        <v>46100</v>
      </c>
      <c r="E79">
        <v>600305</v>
      </c>
      <c r="F79">
        <v>0.151429</v>
      </c>
      <c r="G79">
        <v>281479</v>
      </c>
      <c r="H79">
        <v>1.78245</v>
      </c>
      <c r="I79">
        <v>281272</v>
      </c>
      <c r="J79">
        <v>0.270803</v>
      </c>
      <c r="K79">
        <v>787</v>
      </c>
      <c r="L79">
        <v>0</v>
      </c>
      <c r="M79">
        <v>-1</v>
      </c>
      <c r="N79">
        <v>7</v>
      </c>
      <c r="O79" s="2">
        <v>0.165819</v>
      </c>
      <c r="P79">
        <v>29</v>
      </c>
      <c r="Q79">
        <v>600</v>
      </c>
      <c r="S79">
        <v>600</v>
      </c>
      <c r="T79">
        <f t="shared" si="2"/>
        <v>0</v>
      </c>
      <c r="U79">
        <f t="shared" si="3"/>
        <v>0</v>
      </c>
    </row>
    <row r="80" spans="1:21">
      <c r="A80" t="s">
        <v>137</v>
      </c>
      <c r="B80">
        <v>34</v>
      </c>
      <c r="C80">
        <v>78</v>
      </c>
      <c r="D80">
        <v>13</v>
      </c>
      <c r="E80">
        <v>33</v>
      </c>
      <c r="F80" s="3" t="s">
        <v>25</v>
      </c>
      <c r="G80">
        <v>14</v>
      </c>
      <c r="H80" s="3" t="s">
        <v>138</v>
      </c>
      <c r="I80">
        <v>14</v>
      </c>
      <c r="J80">
        <v>0.010972</v>
      </c>
      <c r="K80">
        <v>13</v>
      </c>
      <c r="L80">
        <v>2</v>
      </c>
      <c r="M80">
        <v>0.012399</v>
      </c>
      <c r="N80">
        <v>4</v>
      </c>
      <c r="O80" s="2">
        <v>9e-6</v>
      </c>
      <c r="P80">
        <v>4</v>
      </c>
      <c r="Q80">
        <v>0.034965</v>
      </c>
      <c r="S80">
        <v>0.012946</v>
      </c>
      <c r="T80">
        <f t="shared" si="2"/>
        <v>1</v>
      </c>
      <c r="U80">
        <f t="shared" si="3"/>
        <v>0</v>
      </c>
    </row>
    <row r="81" spans="1:21">
      <c r="A81" t="s">
        <v>139</v>
      </c>
      <c r="B81">
        <v>70068</v>
      </c>
      <c r="C81">
        <v>358647</v>
      </c>
      <c r="D81">
        <v>25016</v>
      </c>
      <c r="E81">
        <v>292909</v>
      </c>
      <c r="F81">
        <v>0.055776</v>
      </c>
      <c r="G81">
        <v>71830</v>
      </c>
      <c r="H81">
        <v>0.619308</v>
      </c>
      <c r="I81">
        <v>71507</v>
      </c>
      <c r="J81">
        <v>0.200874</v>
      </c>
      <c r="K81">
        <v>2382</v>
      </c>
      <c r="L81">
        <v>0</v>
      </c>
      <c r="M81">
        <v>-1</v>
      </c>
      <c r="N81">
        <v>4</v>
      </c>
      <c r="O81">
        <v>0.044394</v>
      </c>
      <c r="P81">
        <v>20</v>
      </c>
      <c r="Q81">
        <v>600</v>
      </c>
      <c r="S81">
        <v>600</v>
      </c>
      <c r="T81">
        <f t="shared" si="2"/>
        <v>0</v>
      </c>
      <c r="U81">
        <f t="shared" si="3"/>
        <v>0</v>
      </c>
    </row>
    <row r="82" spans="1:21">
      <c r="A82" t="s">
        <v>140</v>
      </c>
      <c r="B82">
        <v>404719</v>
      </c>
      <c r="C82">
        <v>713319</v>
      </c>
      <c r="D82">
        <v>96749</v>
      </c>
      <c r="E82">
        <v>405349</v>
      </c>
      <c r="F82">
        <v>0.121209</v>
      </c>
      <c r="G82">
        <v>49436</v>
      </c>
      <c r="H82">
        <v>0.718085</v>
      </c>
      <c r="I82">
        <v>48884</v>
      </c>
      <c r="J82">
        <v>0.238247</v>
      </c>
      <c r="K82">
        <v>353</v>
      </c>
      <c r="L82">
        <v>0</v>
      </c>
      <c r="M82">
        <v>-1</v>
      </c>
      <c r="N82">
        <v>2</v>
      </c>
      <c r="O82">
        <v>0.109756</v>
      </c>
      <c r="P82">
        <v>4</v>
      </c>
      <c r="Q82">
        <v>600</v>
      </c>
      <c r="S82">
        <v>600</v>
      </c>
      <c r="T82">
        <f t="shared" si="2"/>
        <v>0</v>
      </c>
      <c r="U82">
        <f t="shared" si="3"/>
        <v>0</v>
      </c>
    </row>
    <row r="83" spans="1:21">
      <c r="A83" t="s">
        <v>141</v>
      </c>
      <c r="B83">
        <v>889</v>
      </c>
      <c r="C83">
        <v>2914</v>
      </c>
      <c r="D83">
        <v>431</v>
      </c>
      <c r="E83">
        <v>2137</v>
      </c>
      <c r="F83">
        <v>0.000302</v>
      </c>
      <c r="G83">
        <v>723</v>
      </c>
      <c r="H83">
        <v>0.001314</v>
      </c>
      <c r="I83">
        <v>460</v>
      </c>
      <c r="J83">
        <v>0.100378</v>
      </c>
      <c r="K83">
        <v>1074</v>
      </c>
      <c r="L83">
        <v>179</v>
      </c>
      <c r="M83">
        <v>0.016884</v>
      </c>
      <c r="N83">
        <v>4</v>
      </c>
      <c r="O83" s="2">
        <v>0.000188</v>
      </c>
      <c r="P83">
        <v>5</v>
      </c>
      <c r="Q83">
        <v>0.120135</v>
      </c>
      <c r="S83">
        <v>0.090259</v>
      </c>
      <c r="T83">
        <f t="shared" si="2"/>
        <v>1</v>
      </c>
      <c r="U83">
        <f t="shared" si="3"/>
        <v>0</v>
      </c>
    </row>
    <row r="84" spans="1:21">
      <c r="A84" t="s">
        <v>142</v>
      </c>
      <c r="B84">
        <v>26475</v>
      </c>
      <c r="C84">
        <v>53381</v>
      </c>
      <c r="D84">
        <v>5696</v>
      </c>
      <c r="E84">
        <v>22287</v>
      </c>
      <c r="F84">
        <v>0.005878</v>
      </c>
      <c r="G84">
        <v>11604</v>
      </c>
      <c r="H84">
        <v>0.028237</v>
      </c>
      <c r="I84">
        <v>11531</v>
      </c>
      <c r="J84">
        <v>0.918023</v>
      </c>
      <c r="K84">
        <v>7189</v>
      </c>
      <c r="L84">
        <v>0</v>
      </c>
      <c r="M84">
        <v>-1</v>
      </c>
      <c r="N84">
        <v>3</v>
      </c>
      <c r="O84">
        <v>0.003413</v>
      </c>
      <c r="P84">
        <v>7</v>
      </c>
      <c r="Q84">
        <v>600</v>
      </c>
      <c r="S84">
        <v>600</v>
      </c>
      <c r="T84">
        <f t="shared" si="2"/>
        <v>0</v>
      </c>
      <c r="U84">
        <f t="shared" si="3"/>
        <v>0</v>
      </c>
    </row>
    <row r="85" spans="1:21">
      <c r="A85" t="s">
        <v>143</v>
      </c>
      <c r="B85">
        <v>40164</v>
      </c>
      <c r="C85">
        <v>85123</v>
      </c>
      <c r="D85">
        <v>9439</v>
      </c>
      <c r="E85">
        <v>39351</v>
      </c>
      <c r="F85">
        <v>0.010052</v>
      </c>
      <c r="G85">
        <v>21641</v>
      </c>
      <c r="H85">
        <v>0.077705</v>
      </c>
      <c r="I85">
        <v>21570</v>
      </c>
      <c r="J85">
        <v>0.457748</v>
      </c>
      <c r="K85">
        <v>8231</v>
      </c>
      <c r="L85">
        <v>0</v>
      </c>
      <c r="M85">
        <v>-1</v>
      </c>
      <c r="N85">
        <v>3</v>
      </c>
      <c r="O85" s="2">
        <v>0.006409</v>
      </c>
      <c r="P85">
        <v>6</v>
      </c>
      <c r="Q85">
        <v>600</v>
      </c>
      <c r="S85">
        <v>600</v>
      </c>
      <c r="T85">
        <f t="shared" si="2"/>
        <v>0</v>
      </c>
      <c r="U85">
        <f t="shared" si="3"/>
        <v>0</v>
      </c>
    </row>
    <row r="86" spans="1:21">
      <c r="A86" t="s">
        <v>144</v>
      </c>
      <c r="B86">
        <v>62561</v>
      </c>
      <c r="C86">
        <v>147878</v>
      </c>
      <c r="D86">
        <v>24443</v>
      </c>
      <c r="E86">
        <v>100454</v>
      </c>
      <c r="F86">
        <v>0.02918</v>
      </c>
      <c r="G86">
        <v>379</v>
      </c>
      <c r="H86">
        <v>0.047076</v>
      </c>
      <c r="I86">
        <v>90</v>
      </c>
      <c r="J86">
        <v>0.153935</v>
      </c>
      <c r="K86">
        <v>181</v>
      </c>
      <c r="L86">
        <v>16</v>
      </c>
      <c r="M86">
        <v>0.033816</v>
      </c>
      <c r="N86">
        <v>3</v>
      </c>
      <c r="O86">
        <v>0.021158</v>
      </c>
      <c r="P86">
        <v>3</v>
      </c>
      <c r="Q86">
        <v>0.354454</v>
      </c>
      <c r="S86">
        <v>0.150671</v>
      </c>
      <c r="T86">
        <f t="shared" si="2"/>
        <v>1</v>
      </c>
      <c r="U86">
        <f t="shared" si="3"/>
        <v>0</v>
      </c>
    </row>
    <row r="87" spans="1:21">
      <c r="A87" t="s">
        <v>145</v>
      </c>
      <c r="B87">
        <v>190914</v>
      </c>
      <c r="C87">
        <v>607610</v>
      </c>
      <c r="D87">
        <v>69395</v>
      </c>
      <c r="E87">
        <v>406612</v>
      </c>
      <c r="F87">
        <v>0.133298</v>
      </c>
      <c r="G87">
        <v>113378</v>
      </c>
      <c r="H87">
        <v>0.549592</v>
      </c>
      <c r="I87">
        <v>113134</v>
      </c>
      <c r="J87">
        <v>0.467981</v>
      </c>
      <c r="K87">
        <v>1822</v>
      </c>
      <c r="L87">
        <v>0</v>
      </c>
      <c r="M87">
        <v>-1</v>
      </c>
      <c r="N87">
        <v>4</v>
      </c>
      <c r="O87">
        <v>0.111456</v>
      </c>
      <c r="P87">
        <v>14</v>
      </c>
      <c r="Q87">
        <v>600</v>
      </c>
      <c r="S87">
        <v>600</v>
      </c>
      <c r="T87">
        <f t="shared" si="2"/>
        <v>0</v>
      </c>
      <c r="U87">
        <f t="shared" si="3"/>
        <v>0</v>
      </c>
    </row>
    <row r="88" spans="1:21">
      <c r="A88" t="s">
        <v>146</v>
      </c>
      <c r="B88">
        <v>2113</v>
      </c>
      <c r="C88">
        <v>6632</v>
      </c>
      <c r="D88">
        <v>131</v>
      </c>
      <c r="E88">
        <v>1299</v>
      </c>
      <c r="F88">
        <v>0.000407</v>
      </c>
      <c r="G88">
        <v>749</v>
      </c>
      <c r="H88">
        <v>0.002498</v>
      </c>
      <c r="I88">
        <v>749</v>
      </c>
      <c r="J88">
        <v>0.155296</v>
      </c>
      <c r="K88">
        <v>1818</v>
      </c>
      <c r="L88">
        <v>184</v>
      </c>
      <c r="M88">
        <v>0.100046</v>
      </c>
      <c r="N88">
        <v>11</v>
      </c>
      <c r="O88">
        <v>0.000755</v>
      </c>
      <c r="P88">
        <v>11</v>
      </c>
      <c r="Q88">
        <v>0.262431</v>
      </c>
      <c r="S88">
        <v>0.160188</v>
      </c>
      <c r="T88">
        <f t="shared" si="2"/>
        <v>1</v>
      </c>
      <c r="U88">
        <f t="shared" si="3"/>
        <v>0</v>
      </c>
    </row>
    <row r="89" spans="1:21">
      <c r="A89" t="s">
        <v>147</v>
      </c>
      <c r="B89">
        <v>7476</v>
      </c>
      <c r="C89">
        <v>56943</v>
      </c>
      <c r="D89">
        <v>979</v>
      </c>
      <c r="E89">
        <v>36169</v>
      </c>
      <c r="F89">
        <v>0.008413</v>
      </c>
      <c r="G89">
        <v>31503</v>
      </c>
      <c r="H89">
        <v>0.311502</v>
      </c>
      <c r="I89">
        <v>31421</v>
      </c>
      <c r="J89">
        <v>2.88862</v>
      </c>
      <c r="K89">
        <v>13323</v>
      </c>
      <c r="L89">
        <v>0</v>
      </c>
      <c r="M89">
        <v>-1</v>
      </c>
      <c r="N89">
        <v>17</v>
      </c>
      <c r="O89">
        <v>0.008984</v>
      </c>
      <c r="P89">
        <v>38</v>
      </c>
      <c r="Q89">
        <v>600</v>
      </c>
      <c r="S89">
        <v>600</v>
      </c>
      <c r="T89">
        <f t="shared" si="2"/>
        <v>0</v>
      </c>
      <c r="U89">
        <f t="shared" si="3"/>
        <v>0</v>
      </c>
    </row>
    <row r="90" spans="1:21">
      <c r="A90" t="s">
        <v>148</v>
      </c>
      <c r="B90">
        <v>3031</v>
      </c>
      <c r="C90">
        <v>6474</v>
      </c>
      <c r="D90">
        <v>51</v>
      </c>
      <c r="E90">
        <v>645</v>
      </c>
      <c r="F90">
        <v>0.000187</v>
      </c>
      <c r="G90">
        <v>645</v>
      </c>
      <c r="H90">
        <v>0.001604</v>
      </c>
      <c r="I90">
        <v>645</v>
      </c>
      <c r="J90">
        <v>0.088642</v>
      </c>
      <c r="K90">
        <v>1148</v>
      </c>
      <c r="L90">
        <v>360</v>
      </c>
      <c r="M90">
        <v>0.33419</v>
      </c>
      <c r="N90">
        <v>20</v>
      </c>
      <c r="O90" s="2">
        <v>0.000474</v>
      </c>
      <c r="P90">
        <v>21</v>
      </c>
      <c r="Q90">
        <v>0.427535</v>
      </c>
      <c r="S90">
        <v>0.595242</v>
      </c>
      <c r="T90">
        <f t="shared" si="2"/>
        <v>0</v>
      </c>
      <c r="U90">
        <f t="shared" si="3"/>
        <v>1</v>
      </c>
    </row>
    <row r="91" spans="1:21">
      <c r="A91" t="s">
        <v>150</v>
      </c>
      <c r="B91">
        <v>1299</v>
      </c>
      <c r="C91">
        <v>2773</v>
      </c>
      <c r="D91">
        <v>53</v>
      </c>
      <c r="E91">
        <v>415</v>
      </c>
      <c r="F91" s="3" t="s">
        <v>184</v>
      </c>
      <c r="G91">
        <v>410</v>
      </c>
      <c r="H91">
        <v>0.000404</v>
      </c>
      <c r="I91">
        <v>410</v>
      </c>
      <c r="J91">
        <v>0.040057</v>
      </c>
      <c r="K91">
        <v>300</v>
      </c>
      <c r="L91">
        <v>19</v>
      </c>
      <c r="M91">
        <v>0.026587</v>
      </c>
      <c r="N91">
        <v>15</v>
      </c>
      <c r="O91">
        <v>0.000185</v>
      </c>
      <c r="P91">
        <v>15</v>
      </c>
      <c r="Q91">
        <v>0.068385</v>
      </c>
      <c r="S91">
        <v>0.043457</v>
      </c>
      <c r="T91">
        <f t="shared" si="2"/>
        <v>1</v>
      </c>
      <c r="U91">
        <f t="shared" si="3"/>
        <v>0</v>
      </c>
    </row>
    <row r="92" spans="1:21">
      <c r="A92" t="s">
        <v>152</v>
      </c>
      <c r="B92">
        <v>11358</v>
      </c>
      <c r="C92">
        <v>47606</v>
      </c>
      <c r="D92">
        <v>452</v>
      </c>
      <c r="E92">
        <v>8164</v>
      </c>
      <c r="F92">
        <v>0.00139</v>
      </c>
      <c r="G92">
        <v>8129</v>
      </c>
      <c r="H92">
        <v>0.016752</v>
      </c>
      <c r="I92">
        <v>8129</v>
      </c>
      <c r="J92">
        <v>1.32503</v>
      </c>
      <c r="K92">
        <v>13606</v>
      </c>
      <c r="L92">
        <v>1687</v>
      </c>
      <c r="M92">
        <v>32.2393</v>
      </c>
      <c r="N92">
        <v>29</v>
      </c>
      <c r="O92" s="2">
        <v>0.002252</v>
      </c>
      <c r="P92">
        <v>30</v>
      </c>
      <c r="Q92">
        <v>33.6254</v>
      </c>
      <c r="S92">
        <v>68.0888</v>
      </c>
      <c r="T92">
        <f t="shared" si="2"/>
        <v>0</v>
      </c>
      <c r="U92">
        <f t="shared" si="3"/>
        <v>1</v>
      </c>
    </row>
    <row r="93" spans="1:21">
      <c r="A93" t="s">
        <v>153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0.001132</v>
      </c>
      <c r="I93">
        <v>397</v>
      </c>
      <c r="J93">
        <v>0.067927</v>
      </c>
      <c r="K93">
        <v>780</v>
      </c>
      <c r="L93">
        <v>199</v>
      </c>
      <c r="M93">
        <v>0.047904</v>
      </c>
      <c r="N93">
        <v>6</v>
      </c>
      <c r="O93">
        <v>0.000136</v>
      </c>
      <c r="P93">
        <v>7</v>
      </c>
      <c r="Q93">
        <v>0.118207</v>
      </c>
      <c r="S93">
        <v>0.096339</v>
      </c>
      <c r="T93">
        <f t="shared" si="2"/>
        <v>1</v>
      </c>
      <c r="U93">
        <f t="shared" si="3"/>
        <v>0</v>
      </c>
    </row>
    <row r="94" spans="1:21">
      <c r="A94" t="s">
        <v>154</v>
      </c>
      <c r="B94">
        <v>121422</v>
      </c>
      <c r="C94">
        <v>334419</v>
      </c>
      <c r="D94">
        <v>977</v>
      </c>
      <c r="E94">
        <v>24040</v>
      </c>
      <c r="F94">
        <v>0.008939</v>
      </c>
      <c r="G94">
        <v>23689</v>
      </c>
      <c r="H94">
        <v>0.092367</v>
      </c>
      <c r="I94">
        <v>23689</v>
      </c>
      <c r="J94">
        <v>3.70961</v>
      </c>
      <c r="K94">
        <v>4344</v>
      </c>
      <c r="L94">
        <v>0</v>
      </c>
      <c r="M94">
        <v>-1</v>
      </c>
      <c r="N94">
        <v>26</v>
      </c>
      <c r="O94" s="2">
        <v>0.031768</v>
      </c>
      <c r="P94">
        <v>51</v>
      </c>
      <c r="Q94">
        <v>600</v>
      </c>
      <c r="S94">
        <v>600</v>
      </c>
      <c r="T94">
        <f t="shared" si="2"/>
        <v>0</v>
      </c>
      <c r="U94">
        <f t="shared" si="3"/>
        <v>0</v>
      </c>
    </row>
    <row r="95" spans="1:21">
      <c r="A95" t="s">
        <v>155</v>
      </c>
      <c r="B95">
        <v>4767</v>
      </c>
      <c r="C95">
        <v>37375</v>
      </c>
      <c r="D95">
        <v>1986</v>
      </c>
      <c r="E95">
        <v>30096</v>
      </c>
      <c r="F95">
        <v>0.004593</v>
      </c>
      <c r="G95">
        <v>14533</v>
      </c>
      <c r="H95">
        <v>0.072668</v>
      </c>
      <c r="I95">
        <v>14243</v>
      </c>
      <c r="J95">
        <v>0.221236</v>
      </c>
      <c r="K95">
        <v>4487</v>
      </c>
      <c r="L95">
        <v>0</v>
      </c>
      <c r="M95">
        <v>-1</v>
      </c>
      <c r="N95">
        <v>8</v>
      </c>
      <c r="O95">
        <v>0.003083</v>
      </c>
      <c r="P95">
        <v>11</v>
      </c>
      <c r="Q95">
        <v>600</v>
      </c>
      <c r="S95">
        <v>600</v>
      </c>
      <c r="T95">
        <f t="shared" si="2"/>
        <v>0</v>
      </c>
      <c r="U95">
        <f t="shared" si="3"/>
        <v>0</v>
      </c>
    </row>
    <row r="96" spans="1:21">
      <c r="A96" t="s">
        <v>156</v>
      </c>
      <c r="B96">
        <v>16062</v>
      </c>
      <c r="C96">
        <v>25593</v>
      </c>
      <c r="D96">
        <v>94</v>
      </c>
      <c r="E96">
        <v>1174</v>
      </c>
      <c r="F96">
        <v>0.000562</v>
      </c>
      <c r="G96">
        <v>1174</v>
      </c>
      <c r="H96">
        <v>0.001935</v>
      </c>
      <c r="I96">
        <v>1174</v>
      </c>
      <c r="J96">
        <v>0.272319</v>
      </c>
      <c r="K96">
        <v>4348</v>
      </c>
      <c r="L96">
        <v>1785</v>
      </c>
      <c r="M96">
        <v>43.325</v>
      </c>
      <c r="N96">
        <v>15</v>
      </c>
      <c r="O96">
        <v>0.001505</v>
      </c>
      <c r="P96">
        <v>15</v>
      </c>
      <c r="Q96">
        <v>43.6082</v>
      </c>
      <c r="S96">
        <v>4.93601</v>
      </c>
      <c r="T96">
        <f t="shared" si="2"/>
        <v>1</v>
      </c>
      <c r="U96">
        <f t="shared" si="3"/>
        <v>0</v>
      </c>
    </row>
    <row r="97" spans="17:21">
      <c r="Q97">
        <f>COUNT(Q2:Q96)-COUNTIF(Q2:Q96,"=600")</f>
        <v>59</v>
      </c>
      <c r="S97">
        <f>COUNT(S2:S96)-COUNTIF(S2:S96,"=600")</f>
        <v>59</v>
      </c>
      <c r="T97">
        <f>COUNTIF(T2:T96,"=1")</f>
        <v>52</v>
      </c>
      <c r="U97">
        <f>COUNTIF(U2:U96,"=1")</f>
        <v>7</v>
      </c>
    </row>
  </sheetData>
  <sortState ref="A2:Q96">
    <sortCondition ref="A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abSelected="1" topLeftCell="L67" workbookViewId="0">
      <selection activeCell="U67" sqref="U$1:U$104857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  <col min="19" max="19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266</v>
      </c>
      <c r="E2">
        <v>1498</v>
      </c>
      <c r="F2">
        <v>0.000212</v>
      </c>
      <c r="G2">
        <v>771</v>
      </c>
      <c r="H2">
        <v>0.001308</v>
      </c>
      <c r="I2">
        <v>704</v>
      </c>
      <c r="J2">
        <v>0.113458</v>
      </c>
      <c r="K2">
        <v>1207</v>
      </c>
      <c r="L2">
        <v>160</v>
      </c>
      <c r="M2">
        <v>0.041587</v>
      </c>
      <c r="N2">
        <v>5</v>
      </c>
      <c r="O2" s="2">
        <v>0.000125</v>
      </c>
      <c r="P2">
        <v>7</v>
      </c>
      <c r="Q2">
        <v>0.175937</v>
      </c>
      <c r="S2">
        <v>0.125995</v>
      </c>
      <c r="T2">
        <f t="shared" ref="T2:T65" si="0">IF(S2&lt;Q2,1,0)</f>
        <v>1</v>
      </c>
      <c r="U2">
        <f t="shared" ref="U2:U65" si="1">IF(Q2&lt;S2,1,0)</f>
        <v>0</v>
      </c>
    </row>
    <row r="3" spans="1:23">
      <c r="A3" t="s">
        <v>18</v>
      </c>
      <c r="B3">
        <v>516</v>
      </c>
      <c r="C3">
        <v>1188</v>
      </c>
      <c r="D3">
        <v>25</v>
      </c>
      <c r="E3">
        <v>115</v>
      </c>
      <c r="F3" s="3" t="s">
        <v>62</v>
      </c>
      <c r="G3">
        <v>100</v>
      </c>
      <c r="H3">
        <v>0.000123</v>
      </c>
      <c r="I3">
        <v>100</v>
      </c>
      <c r="J3">
        <v>0.020309</v>
      </c>
      <c r="K3">
        <v>62</v>
      </c>
      <c r="L3">
        <v>7</v>
      </c>
      <c r="M3">
        <v>0.011764</v>
      </c>
      <c r="N3">
        <v>9</v>
      </c>
      <c r="O3">
        <v>0.000117</v>
      </c>
      <c r="P3">
        <v>9</v>
      </c>
      <c r="Q3">
        <v>0.034216</v>
      </c>
      <c r="S3">
        <v>0.065023</v>
      </c>
      <c r="T3">
        <f t="shared" si="0"/>
        <v>0</v>
      </c>
      <c r="U3">
        <f t="shared" si="1"/>
        <v>1</v>
      </c>
    </row>
    <row r="4" spans="1:23">
      <c r="A4" t="s">
        <v>22</v>
      </c>
      <c r="B4">
        <v>7393</v>
      </c>
      <c r="C4">
        <v>25569</v>
      </c>
      <c r="D4">
        <v>3997</v>
      </c>
      <c r="E4">
        <v>20948</v>
      </c>
      <c r="F4">
        <v>0.003566</v>
      </c>
      <c r="G4">
        <v>1373</v>
      </c>
      <c r="H4">
        <v>0.011655</v>
      </c>
      <c r="I4">
        <v>1037</v>
      </c>
      <c r="J4">
        <v>0.101335</v>
      </c>
      <c r="K4">
        <v>1362</v>
      </c>
      <c r="L4">
        <v>339</v>
      </c>
      <c r="M4">
        <v>0.365824</v>
      </c>
      <c r="N4">
        <v>3</v>
      </c>
      <c r="O4" s="2">
        <v>0.002055</v>
      </c>
      <c r="P4">
        <v>3</v>
      </c>
      <c r="Q4">
        <v>0.492971</v>
      </c>
      <c r="S4">
        <v>0.410358</v>
      </c>
      <c r="T4">
        <f t="shared" si="0"/>
        <v>1</v>
      </c>
      <c r="U4">
        <f t="shared" si="1"/>
        <v>0</v>
      </c>
    </row>
    <row r="5" spans="1:23">
      <c r="A5" t="s">
        <v>23</v>
      </c>
      <c r="B5">
        <v>1458</v>
      </c>
      <c r="C5">
        <v>1948</v>
      </c>
      <c r="D5">
        <v>83</v>
      </c>
      <c r="E5">
        <v>170</v>
      </c>
      <c r="F5" s="3" t="s">
        <v>168</v>
      </c>
      <c r="G5">
        <v>36</v>
      </c>
      <c r="H5" s="3" t="s">
        <v>168</v>
      </c>
      <c r="I5">
        <v>29</v>
      </c>
      <c r="J5">
        <v>0.017812</v>
      </c>
      <c r="K5">
        <v>91</v>
      </c>
      <c r="L5">
        <v>8</v>
      </c>
      <c r="M5">
        <v>0.04221</v>
      </c>
      <c r="N5">
        <v>4</v>
      </c>
      <c r="O5">
        <v>0.000147</v>
      </c>
      <c r="P5">
        <v>4</v>
      </c>
      <c r="Q5">
        <v>0.061301</v>
      </c>
      <c r="S5">
        <v>0.016975</v>
      </c>
      <c r="T5">
        <f t="shared" si="0"/>
        <v>1</v>
      </c>
      <c r="U5">
        <f t="shared" si="1"/>
        <v>0</v>
      </c>
    </row>
    <row r="6" spans="1:23">
      <c r="A6" t="s">
        <v>26</v>
      </c>
      <c r="B6">
        <v>17903</v>
      </c>
      <c r="C6">
        <v>196972</v>
      </c>
      <c r="D6">
        <v>3135</v>
      </c>
      <c r="E6">
        <v>86156</v>
      </c>
      <c r="F6">
        <v>0.018804</v>
      </c>
      <c r="G6">
        <v>57428</v>
      </c>
      <c r="H6">
        <v>0.369007</v>
      </c>
      <c r="I6">
        <v>57405</v>
      </c>
      <c r="J6">
        <v>1.03618</v>
      </c>
      <c r="K6">
        <v>5470</v>
      </c>
      <c r="L6">
        <v>0</v>
      </c>
      <c r="M6">
        <v>-1</v>
      </c>
      <c r="N6">
        <v>26</v>
      </c>
      <c r="O6" s="2">
        <v>0.022866</v>
      </c>
      <c r="P6">
        <v>49</v>
      </c>
      <c r="Q6">
        <v>600</v>
      </c>
      <c r="S6">
        <v>600</v>
      </c>
      <c r="T6">
        <f t="shared" si="0"/>
        <v>0</v>
      </c>
      <c r="U6">
        <f t="shared" si="1"/>
        <v>0</v>
      </c>
    </row>
    <row r="7" spans="1:23">
      <c r="A7" t="s">
        <v>27</v>
      </c>
      <c r="B7">
        <v>227320</v>
      </c>
      <c r="C7">
        <v>814134</v>
      </c>
      <c r="D7">
        <v>5211</v>
      </c>
      <c r="E7">
        <v>102750</v>
      </c>
      <c r="F7">
        <v>0.031879</v>
      </c>
      <c r="G7">
        <v>100526</v>
      </c>
      <c r="H7">
        <v>0.290617</v>
      </c>
      <c r="I7">
        <v>100525</v>
      </c>
      <c r="J7">
        <v>1.51585</v>
      </c>
      <c r="K7">
        <v>4249</v>
      </c>
      <c r="L7">
        <v>0</v>
      </c>
      <c r="M7">
        <v>-1</v>
      </c>
      <c r="N7">
        <v>23</v>
      </c>
      <c r="O7">
        <v>0.108505</v>
      </c>
      <c r="P7">
        <v>56</v>
      </c>
      <c r="Q7">
        <v>600</v>
      </c>
      <c r="S7">
        <v>600</v>
      </c>
      <c r="T7">
        <f t="shared" si="0"/>
        <v>0</v>
      </c>
      <c r="U7">
        <f t="shared" si="1"/>
        <v>0</v>
      </c>
    </row>
    <row r="8" spans="1:23">
      <c r="A8" t="s">
        <v>28</v>
      </c>
      <c r="B8">
        <v>21363</v>
      </c>
      <c r="C8">
        <v>91286</v>
      </c>
      <c r="D8">
        <v>1883</v>
      </c>
      <c r="E8">
        <v>18104</v>
      </c>
      <c r="F8">
        <v>0.004492</v>
      </c>
      <c r="G8">
        <v>10003</v>
      </c>
      <c r="H8">
        <v>0.024438</v>
      </c>
      <c r="I8">
        <v>9991</v>
      </c>
      <c r="J8">
        <v>0.253336</v>
      </c>
      <c r="K8">
        <v>10555</v>
      </c>
      <c r="L8">
        <v>2185</v>
      </c>
      <c r="M8">
        <v>63.7546</v>
      </c>
      <c r="N8">
        <v>11</v>
      </c>
      <c r="O8">
        <v>0.007497</v>
      </c>
      <c r="P8">
        <v>12</v>
      </c>
      <c r="Q8">
        <v>64.071</v>
      </c>
      <c r="S8">
        <v>43.2274</v>
      </c>
      <c r="T8">
        <f t="shared" si="0"/>
        <v>1</v>
      </c>
      <c r="U8">
        <f t="shared" si="1"/>
        <v>0</v>
      </c>
    </row>
    <row r="9" spans="1:23">
      <c r="A9" t="s">
        <v>29</v>
      </c>
      <c r="B9">
        <v>1882</v>
      </c>
      <c r="C9">
        <v>1740</v>
      </c>
      <c r="D9">
        <v>583</v>
      </c>
      <c r="E9">
        <v>524</v>
      </c>
      <c r="F9">
        <v>0.000188</v>
      </c>
      <c r="G9">
        <v>20</v>
      </c>
      <c r="H9">
        <v>0.000168</v>
      </c>
      <c r="I9">
        <v>0</v>
      </c>
      <c r="J9">
        <v>0.014041</v>
      </c>
      <c r="K9">
        <v>0</v>
      </c>
      <c r="L9">
        <v>0</v>
      </c>
      <c r="M9">
        <v>0.001665</v>
      </c>
      <c r="N9">
        <v>2</v>
      </c>
      <c r="O9">
        <v>0.000238</v>
      </c>
      <c r="P9">
        <v>2</v>
      </c>
      <c r="Q9">
        <v>0.017091</v>
      </c>
      <c r="S9">
        <v>0.010157</v>
      </c>
      <c r="T9">
        <f t="shared" si="0"/>
        <v>1</v>
      </c>
      <c r="U9">
        <f t="shared" si="1"/>
        <v>0</v>
      </c>
    </row>
    <row r="10" spans="1:23">
      <c r="A10" t="s">
        <v>32</v>
      </c>
      <c r="B10">
        <v>226413</v>
      </c>
      <c r="C10">
        <v>716460</v>
      </c>
      <c r="D10">
        <v>4246</v>
      </c>
      <c r="E10">
        <v>67061</v>
      </c>
      <c r="F10">
        <v>0.026783</v>
      </c>
      <c r="G10">
        <v>65371</v>
      </c>
      <c r="H10">
        <v>0.144383</v>
      </c>
      <c r="I10">
        <v>65371</v>
      </c>
      <c r="J10">
        <v>0.836862</v>
      </c>
      <c r="K10">
        <v>3714</v>
      </c>
      <c r="L10">
        <v>0</v>
      </c>
      <c r="M10">
        <v>-1</v>
      </c>
      <c r="N10">
        <v>18</v>
      </c>
      <c r="O10">
        <v>0.107384</v>
      </c>
      <c r="P10">
        <v>47</v>
      </c>
      <c r="Q10">
        <v>600</v>
      </c>
      <c r="S10">
        <v>600</v>
      </c>
      <c r="T10">
        <f t="shared" si="0"/>
        <v>0</v>
      </c>
      <c r="U10">
        <f t="shared" si="1"/>
        <v>0</v>
      </c>
    </row>
    <row r="11" spans="1:23">
      <c r="A11" t="s">
        <v>33</v>
      </c>
      <c r="B11">
        <v>5094</v>
      </c>
      <c r="C11">
        <v>7515</v>
      </c>
      <c r="D11">
        <v>492</v>
      </c>
      <c r="E11">
        <v>1777</v>
      </c>
      <c r="F11">
        <v>0.00044</v>
      </c>
      <c r="G11">
        <v>347</v>
      </c>
      <c r="H11">
        <v>0.000953</v>
      </c>
      <c r="I11">
        <v>218</v>
      </c>
      <c r="J11">
        <v>0.123907</v>
      </c>
      <c r="K11">
        <v>1126</v>
      </c>
      <c r="L11">
        <v>119</v>
      </c>
      <c r="M11">
        <v>0.080187</v>
      </c>
      <c r="N11">
        <v>4</v>
      </c>
      <c r="O11" s="2">
        <v>0.000461</v>
      </c>
      <c r="P11">
        <v>4</v>
      </c>
      <c r="Q11">
        <v>0.208157</v>
      </c>
      <c r="S11">
        <v>0.09591</v>
      </c>
      <c r="T11">
        <f t="shared" si="0"/>
        <v>1</v>
      </c>
      <c r="U11">
        <f t="shared" si="1"/>
        <v>0</v>
      </c>
    </row>
    <row r="12" spans="1:23">
      <c r="A12" t="s">
        <v>34</v>
      </c>
      <c r="B12">
        <v>4158</v>
      </c>
      <c r="C12">
        <v>13422</v>
      </c>
      <c r="D12">
        <v>123</v>
      </c>
      <c r="E12">
        <v>2406</v>
      </c>
      <c r="F12">
        <v>0.000426</v>
      </c>
      <c r="G12">
        <v>2406</v>
      </c>
      <c r="H12">
        <v>0.005206</v>
      </c>
      <c r="I12">
        <v>2406</v>
      </c>
      <c r="J12">
        <v>0.534031</v>
      </c>
      <c r="K12">
        <v>7641</v>
      </c>
      <c r="L12">
        <v>1160</v>
      </c>
      <c r="M12">
        <v>26.3402</v>
      </c>
      <c r="N12">
        <v>29</v>
      </c>
      <c r="O12">
        <v>0.001007</v>
      </c>
      <c r="P12">
        <v>29</v>
      </c>
      <c r="Q12">
        <v>26.8923</v>
      </c>
      <c r="S12">
        <v>5.32939</v>
      </c>
      <c r="T12">
        <f t="shared" si="0"/>
        <v>1</v>
      </c>
      <c r="U12">
        <f t="shared" si="1"/>
        <v>0</v>
      </c>
    </row>
    <row r="13" spans="1:23">
      <c r="A13" t="s">
        <v>35</v>
      </c>
      <c r="B13">
        <v>11204</v>
      </c>
      <c r="C13">
        <v>117619</v>
      </c>
      <c r="D13">
        <v>456</v>
      </c>
      <c r="E13">
        <v>41293</v>
      </c>
      <c r="F13">
        <v>0.006774</v>
      </c>
      <c r="G13">
        <v>40591</v>
      </c>
      <c r="H13">
        <v>0.646139</v>
      </c>
      <c r="I13">
        <v>40591</v>
      </c>
      <c r="J13">
        <v>153.878</v>
      </c>
      <c r="K13">
        <v>4364</v>
      </c>
      <c r="L13">
        <v>0</v>
      </c>
      <c r="M13">
        <v>-1</v>
      </c>
      <c r="N13">
        <v>83</v>
      </c>
      <c r="O13">
        <v>0.023237</v>
      </c>
      <c r="P13">
        <v>161</v>
      </c>
      <c r="Q13">
        <v>600</v>
      </c>
      <c r="S13">
        <v>600</v>
      </c>
      <c r="T13">
        <f t="shared" si="0"/>
        <v>0</v>
      </c>
      <c r="U13">
        <f t="shared" si="1"/>
        <v>0</v>
      </c>
    </row>
    <row r="14" spans="1:23">
      <c r="A14" t="s">
        <v>36</v>
      </c>
      <c r="B14">
        <v>332689</v>
      </c>
      <c r="C14">
        <v>820644</v>
      </c>
      <c r="D14">
        <v>26475</v>
      </c>
      <c r="E14">
        <v>169690</v>
      </c>
      <c r="F14">
        <v>0.088914</v>
      </c>
      <c r="G14">
        <v>33551</v>
      </c>
      <c r="H14">
        <v>0.173792</v>
      </c>
      <c r="I14">
        <v>33450</v>
      </c>
      <c r="J14">
        <v>0.316709</v>
      </c>
      <c r="K14">
        <v>4903</v>
      </c>
      <c r="L14">
        <v>0</v>
      </c>
      <c r="M14">
        <v>-1</v>
      </c>
      <c r="N14">
        <v>7</v>
      </c>
      <c r="O14" s="2">
        <v>0.199677</v>
      </c>
      <c r="P14">
        <v>15</v>
      </c>
      <c r="Q14">
        <v>600</v>
      </c>
      <c r="S14">
        <v>600</v>
      </c>
      <c r="T14">
        <f t="shared" si="0"/>
        <v>0</v>
      </c>
      <c r="U14">
        <f t="shared" si="1"/>
        <v>0</v>
      </c>
    </row>
    <row r="15" spans="1:23">
      <c r="A15" t="s">
        <v>37</v>
      </c>
      <c r="B15">
        <v>379</v>
      </c>
      <c r="C15">
        <v>914</v>
      </c>
      <c r="D15">
        <v>9</v>
      </c>
      <c r="E15">
        <v>36</v>
      </c>
      <c r="F15" s="3" t="s">
        <v>165</v>
      </c>
      <c r="G15">
        <v>36</v>
      </c>
      <c r="H15" s="3" t="s">
        <v>73</v>
      </c>
      <c r="I15">
        <v>36</v>
      </c>
      <c r="J15" s="3" t="s">
        <v>40</v>
      </c>
      <c r="K15">
        <v>1</v>
      </c>
      <c r="L15">
        <v>1</v>
      </c>
      <c r="M15">
        <v>0.011014</v>
      </c>
      <c r="N15">
        <v>8</v>
      </c>
      <c r="O15" s="2">
        <v>7.5e-5</v>
      </c>
      <c r="P15">
        <v>8</v>
      </c>
      <c r="Q15">
        <v>0.034078</v>
      </c>
      <c r="S15">
        <v>0.0138</v>
      </c>
      <c r="T15">
        <f t="shared" si="0"/>
        <v>1</v>
      </c>
      <c r="U15">
        <f t="shared" si="1"/>
        <v>0</v>
      </c>
    </row>
    <row r="16" spans="1:23">
      <c r="A16" t="s">
        <v>42</v>
      </c>
      <c r="B16">
        <v>32430</v>
      </c>
      <c r="C16">
        <v>54397</v>
      </c>
      <c r="D16">
        <v>2077</v>
      </c>
      <c r="E16">
        <v>18034</v>
      </c>
      <c r="F16">
        <v>0.004589</v>
      </c>
      <c r="G16">
        <v>12157</v>
      </c>
      <c r="H16">
        <v>0.035822</v>
      </c>
      <c r="I16">
        <v>12076</v>
      </c>
      <c r="J16">
        <v>0.227237</v>
      </c>
      <c r="K16">
        <v>4864</v>
      </c>
      <c r="L16">
        <v>0</v>
      </c>
      <c r="M16">
        <v>-1</v>
      </c>
      <c r="N16">
        <v>4</v>
      </c>
      <c r="O16">
        <v>0.00498</v>
      </c>
      <c r="P16">
        <v>7</v>
      </c>
      <c r="Q16">
        <v>600</v>
      </c>
      <c r="S16">
        <v>600</v>
      </c>
      <c r="T16">
        <f t="shared" si="0"/>
        <v>0</v>
      </c>
      <c r="U16">
        <f t="shared" si="1"/>
        <v>0</v>
      </c>
    </row>
    <row r="17" spans="1:21">
      <c r="A17" t="s">
        <v>43</v>
      </c>
      <c r="B17">
        <v>1133</v>
      </c>
      <c r="C17">
        <v>5451</v>
      </c>
      <c r="D17">
        <v>588</v>
      </c>
      <c r="E17">
        <v>4048</v>
      </c>
      <c r="F17">
        <v>0.0006</v>
      </c>
      <c r="G17">
        <v>776</v>
      </c>
      <c r="H17">
        <v>0.002967</v>
      </c>
      <c r="I17">
        <v>459</v>
      </c>
      <c r="J17">
        <v>0.125571</v>
      </c>
      <c r="K17">
        <v>2032</v>
      </c>
      <c r="L17">
        <v>119</v>
      </c>
      <c r="M17">
        <v>0.052603</v>
      </c>
      <c r="N17">
        <v>6</v>
      </c>
      <c r="O17" s="2">
        <v>0.000365</v>
      </c>
      <c r="P17">
        <v>7</v>
      </c>
      <c r="Q17">
        <v>0.184491</v>
      </c>
      <c r="S17">
        <v>0.142977</v>
      </c>
      <c r="T17">
        <f t="shared" si="0"/>
        <v>1</v>
      </c>
      <c r="U17">
        <f t="shared" si="1"/>
        <v>0</v>
      </c>
    </row>
    <row r="18" spans="1:21">
      <c r="A18" t="s">
        <v>44</v>
      </c>
      <c r="B18">
        <v>33696</v>
      </c>
      <c r="C18">
        <v>180811</v>
      </c>
      <c r="D18">
        <v>7541</v>
      </c>
      <c r="E18">
        <v>118896</v>
      </c>
      <c r="F18">
        <v>0.029344</v>
      </c>
      <c r="G18">
        <v>90403</v>
      </c>
      <c r="H18">
        <v>0.407614</v>
      </c>
      <c r="I18">
        <v>90259</v>
      </c>
      <c r="J18">
        <v>0.269501</v>
      </c>
      <c r="K18">
        <v>2812</v>
      </c>
      <c r="L18">
        <v>0</v>
      </c>
      <c r="M18">
        <v>-1</v>
      </c>
      <c r="N18">
        <v>7</v>
      </c>
      <c r="O18" s="2">
        <v>0.023788</v>
      </c>
      <c r="P18">
        <v>16</v>
      </c>
      <c r="Q18">
        <v>600</v>
      </c>
      <c r="S18">
        <v>600</v>
      </c>
      <c r="T18">
        <f t="shared" si="0"/>
        <v>0</v>
      </c>
      <c r="U18">
        <f t="shared" si="1"/>
        <v>0</v>
      </c>
    </row>
    <row r="19" spans="1:21">
      <c r="A19" t="s">
        <v>45</v>
      </c>
      <c r="B19">
        <v>143</v>
      </c>
      <c r="C19">
        <v>623</v>
      </c>
      <c r="D19">
        <v>80</v>
      </c>
      <c r="E19">
        <v>442</v>
      </c>
      <c r="F19" s="3" t="s">
        <v>189</v>
      </c>
      <c r="G19">
        <v>139</v>
      </c>
      <c r="H19">
        <v>0.00041</v>
      </c>
      <c r="I19">
        <v>107</v>
      </c>
      <c r="J19">
        <v>0.136536</v>
      </c>
      <c r="K19">
        <v>222</v>
      </c>
      <c r="L19">
        <v>27</v>
      </c>
      <c r="M19">
        <v>0.016712</v>
      </c>
      <c r="N19">
        <v>6</v>
      </c>
      <c r="O19" s="3" t="s">
        <v>178</v>
      </c>
      <c r="P19">
        <v>7</v>
      </c>
      <c r="Q19">
        <v>0.162711</v>
      </c>
      <c r="S19">
        <v>0.029524</v>
      </c>
      <c r="T19">
        <f t="shared" si="0"/>
        <v>1</v>
      </c>
      <c r="U19">
        <f t="shared" si="1"/>
        <v>0</v>
      </c>
    </row>
    <row r="20" spans="1:21">
      <c r="A20" t="s">
        <v>48</v>
      </c>
      <c r="B20">
        <v>1266</v>
      </c>
      <c r="C20">
        <v>6451</v>
      </c>
      <c r="D20">
        <v>761</v>
      </c>
      <c r="E20">
        <v>5580</v>
      </c>
      <c r="F20">
        <v>0.000857</v>
      </c>
      <c r="G20">
        <v>689</v>
      </c>
      <c r="H20">
        <v>0.00416</v>
      </c>
      <c r="I20">
        <v>141</v>
      </c>
      <c r="J20">
        <v>0.037624</v>
      </c>
      <c r="K20">
        <v>105</v>
      </c>
      <c r="L20">
        <v>8</v>
      </c>
      <c r="M20">
        <v>0.010222</v>
      </c>
      <c r="N20">
        <v>4</v>
      </c>
      <c r="O20">
        <v>0.000454</v>
      </c>
      <c r="P20">
        <v>4</v>
      </c>
      <c r="Q20">
        <v>0.056151</v>
      </c>
      <c r="S20">
        <v>0.042624</v>
      </c>
      <c r="T20">
        <f t="shared" si="0"/>
        <v>1</v>
      </c>
      <c r="U20">
        <f t="shared" si="1"/>
        <v>0</v>
      </c>
    </row>
    <row r="21" spans="1:21">
      <c r="A21" t="s">
        <v>49</v>
      </c>
      <c r="B21">
        <v>410</v>
      </c>
      <c r="C21">
        <v>2765</v>
      </c>
      <c r="D21">
        <v>149</v>
      </c>
      <c r="E21">
        <v>1327</v>
      </c>
      <c r="F21">
        <v>0.000238</v>
      </c>
      <c r="G21">
        <v>550</v>
      </c>
      <c r="H21">
        <v>0.001841</v>
      </c>
      <c r="I21">
        <v>370</v>
      </c>
      <c r="J21">
        <v>0.31601</v>
      </c>
      <c r="K21">
        <v>837</v>
      </c>
      <c r="L21">
        <v>54</v>
      </c>
      <c r="M21">
        <v>0.059255</v>
      </c>
      <c r="N21">
        <v>11</v>
      </c>
      <c r="O21" s="2">
        <v>0.000245</v>
      </c>
      <c r="P21">
        <v>11</v>
      </c>
      <c r="Q21">
        <v>0.395802</v>
      </c>
      <c r="S21">
        <v>0.155287</v>
      </c>
      <c r="T21">
        <f t="shared" si="0"/>
        <v>1</v>
      </c>
      <c r="U21">
        <f t="shared" si="1"/>
        <v>0</v>
      </c>
    </row>
    <row r="22" spans="1:21">
      <c r="A22" t="s">
        <v>51</v>
      </c>
      <c r="B22">
        <v>113</v>
      </c>
      <c r="C22">
        <v>2196</v>
      </c>
      <c r="D22">
        <v>112</v>
      </c>
      <c r="E22">
        <v>2195</v>
      </c>
      <c r="F22">
        <v>0.000391</v>
      </c>
      <c r="G22">
        <v>2038</v>
      </c>
      <c r="H22">
        <v>0.00888</v>
      </c>
      <c r="I22">
        <v>1962</v>
      </c>
      <c r="J22">
        <v>0.717897</v>
      </c>
      <c r="K22">
        <v>1481</v>
      </c>
      <c r="L22">
        <v>450</v>
      </c>
      <c r="M22">
        <v>0.14614</v>
      </c>
      <c r="N22">
        <v>9</v>
      </c>
      <c r="O22" s="2">
        <v>0.000296</v>
      </c>
      <c r="P22">
        <v>12</v>
      </c>
      <c r="Q22">
        <v>0.88372</v>
      </c>
      <c r="S22">
        <v>0.226379</v>
      </c>
      <c r="T22">
        <f t="shared" si="0"/>
        <v>1</v>
      </c>
      <c r="U22">
        <f t="shared" si="1"/>
        <v>0</v>
      </c>
    </row>
    <row r="23" spans="1:21">
      <c r="A23" t="s">
        <v>52</v>
      </c>
      <c r="B23">
        <v>6809</v>
      </c>
      <c r="C23">
        <v>7680</v>
      </c>
      <c r="D23">
        <v>228</v>
      </c>
      <c r="E23">
        <v>805</v>
      </c>
      <c r="F23">
        <v>0.000203</v>
      </c>
      <c r="G23">
        <v>196</v>
      </c>
      <c r="H23">
        <v>0.000304</v>
      </c>
      <c r="I23">
        <v>163</v>
      </c>
      <c r="J23">
        <v>0.050462</v>
      </c>
      <c r="K23">
        <v>492</v>
      </c>
      <c r="L23">
        <v>95</v>
      </c>
      <c r="M23">
        <v>0.015918</v>
      </c>
      <c r="N23">
        <v>3</v>
      </c>
      <c r="O23">
        <v>0.000284</v>
      </c>
      <c r="P23">
        <v>3</v>
      </c>
      <c r="Q23">
        <v>0.068798</v>
      </c>
      <c r="S23">
        <v>0.056687</v>
      </c>
      <c r="T23">
        <f t="shared" si="0"/>
        <v>1</v>
      </c>
      <c r="U23">
        <f t="shared" si="1"/>
        <v>0</v>
      </c>
    </row>
    <row r="24" spans="1:21">
      <c r="A24" t="s">
        <v>53</v>
      </c>
      <c r="B24">
        <v>92117</v>
      </c>
      <c r="C24">
        <v>360767</v>
      </c>
      <c r="D24">
        <v>19832</v>
      </c>
      <c r="E24">
        <v>264678</v>
      </c>
      <c r="F24">
        <v>0.052849</v>
      </c>
      <c r="G24">
        <v>139137</v>
      </c>
      <c r="H24">
        <v>0.895138</v>
      </c>
      <c r="I24">
        <v>138972</v>
      </c>
      <c r="J24">
        <v>0.224263</v>
      </c>
      <c r="K24">
        <v>1764</v>
      </c>
      <c r="L24">
        <v>0</v>
      </c>
      <c r="M24">
        <v>-1</v>
      </c>
      <c r="N24">
        <v>4</v>
      </c>
      <c r="O24">
        <v>0.047222</v>
      </c>
      <c r="P24">
        <v>13</v>
      </c>
      <c r="Q24">
        <v>600</v>
      </c>
      <c r="S24">
        <v>600</v>
      </c>
      <c r="T24">
        <f t="shared" si="0"/>
        <v>0</v>
      </c>
      <c r="U24">
        <f t="shared" si="1"/>
        <v>0</v>
      </c>
    </row>
    <row r="25" spans="1:21">
      <c r="A25" t="s">
        <v>54</v>
      </c>
      <c r="B25">
        <v>4941</v>
      </c>
      <c r="C25">
        <v>6594</v>
      </c>
      <c r="D25">
        <v>107</v>
      </c>
      <c r="E25">
        <v>199</v>
      </c>
      <c r="F25">
        <v>0.000211</v>
      </c>
      <c r="G25">
        <v>63</v>
      </c>
      <c r="H25" s="3" t="s">
        <v>174</v>
      </c>
      <c r="I25">
        <v>60</v>
      </c>
      <c r="J25">
        <v>0.017538</v>
      </c>
      <c r="K25">
        <v>146</v>
      </c>
      <c r="L25">
        <v>16</v>
      </c>
      <c r="M25">
        <v>0.012591</v>
      </c>
      <c r="N25">
        <v>4</v>
      </c>
      <c r="O25">
        <v>0.000478</v>
      </c>
      <c r="P25">
        <v>4</v>
      </c>
      <c r="Q25">
        <v>0.032563</v>
      </c>
      <c r="S25">
        <v>0.023761</v>
      </c>
      <c r="T25">
        <f t="shared" si="0"/>
        <v>1</v>
      </c>
      <c r="U25">
        <f t="shared" si="1"/>
        <v>0</v>
      </c>
    </row>
    <row r="26" spans="1:21">
      <c r="A26" t="s">
        <v>56</v>
      </c>
      <c r="B26">
        <v>91813</v>
      </c>
      <c r="C26">
        <v>125704</v>
      </c>
      <c r="D26">
        <v>114</v>
      </c>
      <c r="E26">
        <v>136</v>
      </c>
      <c r="F26">
        <v>0.004497</v>
      </c>
      <c r="G26">
        <v>0</v>
      </c>
      <c r="H26" s="3" t="s">
        <v>188</v>
      </c>
      <c r="I26">
        <v>0</v>
      </c>
      <c r="J26">
        <v>0</v>
      </c>
      <c r="K26">
        <v>0</v>
      </c>
      <c r="L26">
        <v>0</v>
      </c>
      <c r="M26">
        <v>0.00162</v>
      </c>
      <c r="N26">
        <v>5</v>
      </c>
      <c r="O26">
        <v>0.016684</v>
      </c>
      <c r="P26">
        <v>5</v>
      </c>
      <c r="Q26">
        <v>0.081976</v>
      </c>
      <c r="S26">
        <v>0.049403</v>
      </c>
      <c r="T26">
        <f t="shared" si="0"/>
        <v>1</v>
      </c>
      <c r="U26">
        <f t="shared" si="1"/>
        <v>0</v>
      </c>
    </row>
    <row r="27" spans="1:21">
      <c r="A27" t="s">
        <v>58</v>
      </c>
      <c r="B27">
        <v>96</v>
      </c>
      <c r="C27">
        <v>117</v>
      </c>
      <c r="D27">
        <v>16</v>
      </c>
      <c r="E27">
        <v>26</v>
      </c>
      <c r="F27" s="3" t="s">
        <v>138</v>
      </c>
      <c r="G27">
        <v>6</v>
      </c>
      <c r="H27" s="3" t="s">
        <v>162</v>
      </c>
      <c r="I27">
        <v>6</v>
      </c>
      <c r="J27">
        <v>0.017148</v>
      </c>
      <c r="K27">
        <v>13</v>
      </c>
      <c r="L27">
        <v>1</v>
      </c>
      <c r="M27">
        <v>0.015648</v>
      </c>
      <c r="N27">
        <v>3</v>
      </c>
      <c r="O27" s="3" t="s">
        <v>38</v>
      </c>
      <c r="P27">
        <v>3</v>
      </c>
      <c r="Q27">
        <v>0.041846</v>
      </c>
      <c r="S27">
        <v>0.009219</v>
      </c>
      <c r="T27">
        <f t="shared" si="0"/>
        <v>1</v>
      </c>
      <c r="U27">
        <f t="shared" si="1"/>
        <v>0</v>
      </c>
    </row>
    <row r="28" spans="1:21">
      <c r="A28" t="s">
        <v>61</v>
      </c>
      <c r="B28">
        <v>761</v>
      </c>
      <c r="C28">
        <v>1029</v>
      </c>
      <c r="D28">
        <v>145</v>
      </c>
      <c r="E28">
        <v>322</v>
      </c>
      <c r="F28">
        <v>0.000131</v>
      </c>
      <c r="G28">
        <v>77</v>
      </c>
      <c r="H28">
        <v>0.000224</v>
      </c>
      <c r="I28">
        <v>47</v>
      </c>
      <c r="J28">
        <v>0.034995</v>
      </c>
      <c r="K28">
        <v>95</v>
      </c>
      <c r="L28">
        <v>11</v>
      </c>
      <c r="M28">
        <v>0.008262</v>
      </c>
      <c r="N28">
        <v>3</v>
      </c>
      <c r="O28" s="2">
        <v>0.000125</v>
      </c>
      <c r="P28">
        <v>4</v>
      </c>
      <c r="Q28">
        <v>0.044624</v>
      </c>
      <c r="S28">
        <v>0.022714</v>
      </c>
      <c r="T28">
        <f t="shared" si="0"/>
        <v>1</v>
      </c>
      <c r="U28">
        <f t="shared" si="1"/>
        <v>0</v>
      </c>
    </row>
    <row r="29" spans="1:21">
      <c r="A29" t="s">
        <v>64</v>
      </c>
      <c r="B29">
        <v>146</v>
      </c>
      <c r="C29">
        <v>9828</v>
      </c>
      <c r="D29">
        <v>139</v>
      </c>
      <c r="E29">
        <v>9291</v>
      </c>
      <c r="F29">
        <v>0.001189</v>
      </c>
      <c r="G29">
        <v>9291</v>
      </c>
      <c r="H29">
        <v>0.091346</v>
      </c>
      <c r="I29">
        <v>9291</v>
      </c>
      <c r="J29">
        <v>5.78887</v>
      </c>
      <c r="K29">
        <v>4538</v>
      </c>
      <c r="L29">
        <v>810</v>
      </c>
      <c r="M29">
        <v>9.59966</v>
      </c>
      <c r="N29">
        <v>100</v>
      </c>
      <c r="O29">
        <v>0.002202</v>
      </c>
      <c r="P29">
        <v>100</v>
      </c>
      <c r="Q29">
        <v>15.7334</v>
      </c>
      <c r="S29">
        <v>33.1704</v>
      </c>
      <c r="T29">
        <f t="shared" si="0"/>
        <v>0</v>
      </c>
      <c r="U29">
        <f t="shared" si="1"/>
        <v>1</v>
      </c>
    </row>
    <row r="30" spans="1:21">
      <c r="A30" t="s">
        <v>65</v>
      </c>
      <c r="B30">
        <v>488</v>
      </c>
      <c r="C30">
        <v>71011</v>
      </c>
      <c r="D30">
        <v>413</v>
      </c>
      <c r="E30">
        <v>69788</v>
      </c>
      <c r="F30">
        <v>0.009726</v>
      </c>
      <c r="G30">
        <v>-1</v>
      </c>
      <c r="H30">
        <v>2.61131</v>
      </c>
      <c r="I30">
        <v>-1</v>
      </c>
      <c r="J30">
        <v>-1</v>
      </c>
      <c r="K30">
        <v>0</v>
      </c>
      <c r="L30">
        <v>0</v>
      </c>
      <c r="M30">
        <v>-1</v>
      </c>
      <c r="N30">
        <v>129</v>
      </c>
      <c r="O30">
        <v>0.055427</v>
      </c>
      <c r="P30">
        <v>129</v>
      </c>
      <c r="Q30">
        <v>600</v>
      </c>
      <c r="S30">
        <v>600</v>
      </c>
      <c r="T30">
        <f t="shared" si="0"/>
        <v>0</v>
      </c>
      <c r="U30">
        <f t="shared" si="1"/>
        <v>0</v>
      </c>
    </row>
    <row r="31" spans="1:21">
      <c r="A31" t="s">
        <v>66</v>
      </c>
      <c r="B31">
        <v>1303</v>
      </c>
      <c r="C31">
        <v>531893</v>
      </c>
      <c r="D31">
        <v>1223</v>
      </c>
      <c r="E31">
        <v>529188</v>
      </c>
      <c r="F31">
        <v>0.088948</v>
      </c>
      <c r="G31">
        <v>529185</v>
      </c>
      <c r="H31">
        <v>71.0902</v>
      </c>
      <c r="I31">
        <v>529185</v>
      </c>
      <c r="J31">
        <v>274.848</v>
      </c>
      <c r="K31">
        <v>600</v>
      </c>
      <c r="L31">
        <v>0</v>
      </c>
      <c r="M31">
        <v>-1</v>
      </c>
      <c r="N31">
        <v>168</v>
      </c>
      <c r="O31">
        <v>1.29601</v>
      </c>
      <c r="P31">
        <v>168</v>
      </c>
      <c r="Q31">
        <v>600</v>
      </c>
      <c r="S31">
        <v>600</v>
      </c>
      <c r="T31">
        <f t="shared" si="0"/>
        <v>0</v>
      </c>
      <c r="U31">
        <f t="shared" si="1"/>
        <v>0</v>
      </c>
    </row>
    <row r="32" spans="1:21">
      <c r="A32" t="s">
        <v>67</v>
      </c>
      <c r="B32">
        <v>10972</v>
      </c>
      <c r="C32">
        <v>175573</v>
      </c>
      <c r="D32">
        <v>2183</v>
      </c>
      <c r="E32">
        <v>71066</v>
      </c>
      <c r="F32">
        <v>0.016936</v>
      </c>
      <c r="G32">
        <v>69253</v>
      </c>
      <c r="H32">
        <v>0.353106</v>
      </c>
      <c r="I32">
        <v>69240</v>
      </c>
      <c r="J32">
        <v>3.63854</v>
      </c>
      <c r="K32">
        <v>3613</v>
      </c>
      <c r="L32">
        <v>0</v>
      </c>
      <c r="M32">
        <v>-1</v>
      </c>
      <c r="N32">
        <v>38</v>
      </c>
      <c r="O32" s="2">
        <v>0.033975</v>
      </c>
      <c r="P32">
        <v>69</v>
      </c>
      <c r="Q32">
        <v>600</v>
      </c>
      <c r="S32">
        <v>600</v>
      </c>
      <c r="T32">
        <f t="shared" si="0"/>
        <v>0</v>
      </c>
      <c r="U32">
        <f t="shared" si="1"/>
        <v>0</v>
      </c>
    </row>
    <row r="33" spans="1:21">
      <c r="A33" t="s">
        <v>68</v>
      </c>
      <c r="B33">
        <v>113</v>
      </c>
      <c r="C33">
        <v>6222</v>
      </c>
      <c r="D33">
        <v>111</v>
      </c>
      <c r="E33">
        <v>6045</v>
      </c>
      <c r="F33">
        <v>0.000703</v>
      </c>
      <c r="G33">
        <v>6045</v>
      </c>
      <c r="H33">
        <v>0.041026</v>
      </c>
      <c r="I33">
        <v>6045</v>
      </c>
      <c r="J33">
        <v>0.284235</v>
      </c>
      <c r="K33">
        <v>1965</v>
      </c>
      <c r="L33">
        <v>285</v>
      </c>
      <c r="M33">
        <v>1.78044</v>
      </c>
      <c r="N33">
        <v>93</v>
      </c>
      <c r="O33">
        <v>0.000961</v>
      </c>
      <c r="P33">
        <v>93</v>
      </c>
      <c r="Q33">
        <v>2.13747</v>
      </c>
      <c r="S33">
        <v>8.12639</v>
      </c>
      <c r="T33">
        <f t="shared" si="0"/>
        <v>0</v>
      </c>
      <c r="U33">
        <f t="shared" si="1"/>
        <v>1</v>
      </c>
    </row>
    <row r="34" spans="1:21">
      <c r="A34" t="s">
        <v>69</v>
      </c>
      <c r="B34">
        <v>1206</v>
      </c>
      <c r="C34">
        <v>65990</v>
      </c>
      <c r="D34">
        <v>541</v>
      </c>
      <c r="E34">
        <v>57408</v>
      </c>
      <c r="F34">
        <v>0.008771</v>
      </c>
      <c r="G34">
        <v>56766</v>
      </c>
      <c r="H34">
        <v>1.40147</v>
      </c>
      <c r="I34">
        <v>56765</v>
      </c>
      <c r="J34">
        <v>190.444</v>
      </c>
      <c r="K34">
        <v>4894</v>
      </c>
      <c r="L34">
        <v>0</v>
      </c>
      <c r="M34">
        <v>-1</v>
      </c>
      <c r="N34">
        <v>71</v>
      </c>
      <c r="O34">
        <v>0.025623</v>
      </c>
      <c r="P34">
        <v>142</v>
      </c>
      <c r="Q34">
        <v>600</v>
      </c>
      <c r="S34">
        <v>600</v>
      </c>
      <c r="T34">
        <f t="shared" si="0"/>
        <v>0</v>
      </c>
      <c r="U34">
        <f t="shared" si="1"/>
        <v>0</v>
      </c>
    </row>
    <row r="35" spans="1:21">
      <c r="A35" t="s">
        <v>70</v>
      </c>
      <c r="B35">
        <v>17151</v>
      </c>
      <c r="C35">
        <v>24015</v>
      </c>
      <c r="D35">
        <v>384</v>
      </c>
      <c r="E35">
        <v>3009</v>
      </c>
      <c r="F35">
        <v>0.001253</v>
      </c>
      <c r="G35">
        <v>1890</v>
      </c>
      <c r="H35">
        <v>0.004112</v>
      </c>
      <c r="I35">
        <v>1858</v>
      </c>
      <c r="J35">
        <v>1.00584</v>
      </c>
      <c r="K35">
        <v>7849</v>
      </c>
      <c r="L35">
        <v>1338</v>
      </c>
      <c r="M35">
        <v>8.41569</v>
      </c>
      <c r="N35">
        <v>9</v>
      </c>
      <c r="O35">
        <v>0.002412</v>
      </c>
      <c r="P35">
        <v>10</v>
      </c>
      <c r="Q35">
        <v>9.43748</v>
      </c>
      <c r="S35">
        <v>2.30888</v>
      </c>
      <c r="T35">
        <f t="shared" si="0"/>
        <v>1</v>
      </c>
      <c r="U35">
        <f t="shared" si="1"/>
        <v>0</v>
      </c>
    </row>
    <row r="36" spans="1:21">
      <c r="A36" t="s">
        <v>71</v>
      </c>
      <c r="B36">
        <v>72</v>
      </c>
      <c r="C36">
        <v>355</v>
      </c>
      <c r="D36">
        <v>18</v>
      </c>
      <c r="E36">
        <v>150</v>
      </c>
      <c r="F36" s="3" t="s">
        <v>73</v>
      </c>
      <c r="G36">
        <v>150</v>
      </c>
      <c r="H36">
        <v>0.000238</v>
      </c>
      <c r="I36">
        <v>150</v>
      </c>
      <c r="J36" s="3" t="s">
        <v>83</v>
      </c>
      <c r="K36">
        <v>1</v>
      </c>
      <c r="L36">
        <v>1</v>
      </c>
      <c r="M36">
        <v>0.024782</v>
      </c>
      <c r="N36">
        <v>15</v>
      </c>
      <c r="O36" s="3" t="s">
        <v>81</v>
      </c>
      <c r="P36">
        <v>15</v>
      </c>
      <c r="Q36">
        <v>0.035256</v>
      </c>
      <c r="S36">
        <v>0.01197</v>
      </c>
      <c r="T36">
        <f t="shared" si="0"/>
        <v>1</v>
      </c>
      <c r="U36">
        <f t="shared" si="1"/>
        <v>0</v>
      </c>
    </row>
    <row r="37" spans="1:21">
      <c r="A37" t="s">
        <v>74</v>
      </c>
      <c r="B37">
        <v>34</v>
      </c>
      <c r="C37">
        <v>96</v>
      </c>
      <c r="D37">
        <v>12</v>
      </c>
      <c r="E37">
        <v>53</v>
      </c>
      <c r="F37" s="3" t="s">
        <v>79</v>
      </c>
      <c r="G37">
        <v>53</v>
      </c>
      <c r="H37" s="3" t="s">
        <v>190</v>
      </c>
      <c r="I37">
        <v>53</v>
      </c>
      <c r="J37">
        <v>0.01391</v>
      </c>
      <c r="K37">
        <v>26</v>
      </c>
      <c r="L37">
        <v>5</v>
      </c>
      <c r="M37">
        <v>0.020013</v>
      </c>
      <c r="N37">
        <v>7</v>
      </c>
      <c r="O37" s="3" t="s">
        <v>57</v>
      </c>
      <c r="P37">
        <v>7</v>
      </c>
      <c r="Q37">
        <v>0.053912</v>
      </c>
      <c r="S37">
        <v>0.010435</v>
      </c>
      <c r="T37">
        <f t="shared" si="0"/>
        <v>1</v>
      </c>
      <c r="U37">
        <f t="shared" si="1"/>
        <v>0</v>
      </c>
    </row>
    <row r="38" spans="1:21">
      <c r="A38" t="s">
        <v>78</v>
      </c>
      <c r="B38">
        <v>72</v>
      </c>
      <c r="C38">
        <v>129</v>
      </c>
      <c r="D38">
        <v>12</v>
      </c>
      <c r="E38">
        <v>53</v>
      </c>
      <c r="F38" s="3" t="s">
        <v>55</v>
      </c>
      <c r="G38">
        <v>35</v>
      </c>
      <c r="H38" s="3" t="s">
        <v>191</v>
      </c>
      <c r="I38">
        <v>35</v>
      </c>
      <c r="J38">
        <v>0.007458</v>
      </c>
      <c r="K38">
        <v>14</v>
      </c>
      <c r="L38">
        <v>2</v>
      </c>
      <c r="M38">
        <v>0.005492</v>
      </c>
      <c r="N38">
        <v>7</v>
      </c>
      <c r="O38" s="3" t="s">
        <v>77</v>
      </c>
      <c r="P38">
        <v>7</v>
      </c>
      <c r="Q38">
        <v>0.020148</v>
      </c>
      <c r="S38">
        <v>0.016689</v>
      </c>
      <c r="T38">
        <f t="shared" si="0"/>
        <v>1</v>
      </c>
      <c r="U38">
        <f t="shared" si="1"/>
        <v>0</v>
      </c>
    </row>
    <row r="39" spans="1:21">
      <c r="A39" t="s">
        <v>80</v>
      </c>
      <c r="B39">
        <v>80</v>
      </c>
      <c r="C39">
        <v>226</v>
      </c>
      <c r="D39">
        <v>18</v>
      </c>
      <c r="E39">
        <v>103</v>
      </c>
      <c r="F39" s="3" t="s">
        <v>112</v>
      </c>
      <c r="G39">
        <v>80</v>
      </c>
      <c r="H39" s="3" t="s">
        <v>192</v>
      </c>
      <c r="I39">
        <v>80</v>
      </c>
      <c r="J39">
        <v>0.005739</v>
      </c>
      <c r="K39">
        <v>39</v>
      </c>
      <c r="L39">
        <v>9</v>
      </c>
      <c r="M39">
        <v>0.004195</v>
      </c>
      <c r="N39">
        <v>8</v>
      </c>
      <c r="O39" s="2">
        <v>1.8e-5</v>
      </c>
      <c r="P39">
        <v>9</v>
      </c>
      <c r="Q39">
        <v>0.015836</v>
      </c>
      <c r="S39">
        <v>0.079706</v>
      </c>
      <c r="T39">
        <f t="shared" si="0"/>
        <v>0</v>
      </c>
      <c r="U39">
        <f t="shared" si="1"/>
        <v>1</v>
      </c>
    </row>
    <row r="40" spans="1:21">
      <c r="A40" t="s">
        <v>82</v>
      </c>
      <c r="B40">
        <v>34</v>
      </c>
      <c r="C40">
        <v>41</v>
      </c>
      <c r="D40">
        <v>6</v>
      </c>
      <c r="E40">
        <v>14</v>
      </c>
      <c r="F40" s="3" t="s">
        <v>85</v>
      </c>
      <c r="G40">
        <v>14</v>
      </c>
      <c r="H40" s="3" t="s">
        <v>77</v>
      </c>
      <c r="I40">
        <v>14</v>
      </c>
      <c r="J40" s="3" t="s">
        <v>21</v>
      </c>
      <c r="K40">
        <v>2</v>
      </c>
      <c r="L40">
        <v>2</v>
      </c>
      <c r="M40">
        <v>0.03509</v>
      </c>
      <c r="N40">
        <v>4</v>
      </c>
      <c r="O40" s="3" t="s">
        <v>59</v>
      </c>
      <c r="P40">
        <v>4</v>
      </c>
      <c r="Q40">
        <v>0.056892</v>
      </c>
      <c r="S40">
        <v>0.013036</v>
      </c>
      <c r="T40">
        <f t="shared" si="0"/>
        <v>1</v>
      </c>
      <c r="U40">
        <f t="shared" si="1"/>
        <v>0</v>
      </c>
    </row>
    <row r="41" spans="1:21">
      <c r="A41" t="s">
        <v>86</v>
      </c>
      <c r="B41">
        <v>31</v>
      </c>
      <c r="C41">
        <v>39</v>
      </c>
      <c r="D41">
        <v>6</v>
      </c>
      <c r="E41">
        <v>15</v>
      </c>
      <c r="F41" s="3" t="s">
        <v>25</v>
      </c>
      <c r="G41">
        <v>15</v>
      </c>
      <c r="H41" s="3" t="s">
        <v>60</v>
      </c>
      <c r="I41">
        <v>15</v>
      </c>
      <c r="J41" s="3" t="s">
        <v>40</v>
      </c>
      <c r="K41">
        <v>1</v>
      </c>
      <c r="L41">
        <v>1</v>
      </c>
      <c r="M41">
        <v>0.015004</v>
      </c>
      <c r="N41">
        <v>5</v>
      </c>
      <c r="O41" s="2">
        <v>1.2e-5</v>
      </c>
      <c r="P41">
        <v>5</v>
      </c>
      <c r="Q41">
        <v>0.021221</v>
      </c>
      <c r="S41">
        <v>0.012548</v>
      </c>
      <c r="T41">
        <f t="shared" si="0"/>
        <v>1</v>
      </c>
      <c r="U41">
        <f t="shared" si="1"/>
        <v>0</v>
      </c>
    </row>
    <row r="42" spans="1:21">
      <c r="A42" t="s">
        <v>87</v>
      </c>
      <c r="B42">
        <v>135</v>
      </c>
      <c r="C42">
        <v>1078</v>
      </c>
      <c r="D42">
        <v>38</v>
      </c>
      <c r="E42">
        <v>530</v>
      </c>
      <c r="F42" s="3" t="s">
        <v>187</v>
      </c>
      <c r="G42">
        <v>525</v>
      </c>
      <c r="H42">
        <v>0.000924</v>
      </c>
      <c r="I42">
        <v>525</v>
      </c>
      <c r="J42">
        <v>0.069515</v>
      </c>
      <c r="K42">
        <v>145</v>
      </c>
      <c r="L42">
        <v>23</v>
      </c>
      <c r="M42">
        <v>0.06848</v>
      </c>
      <c r="N42">
        <v>19</v>
      </c>
      <c r="O42" s="3" t="s">
        <v>89</v>
      </c>
      <c r="P42">
        <v>19</v>
      </c>
      <c r="Q42">
        <v>0.192088</v>
      </c>
      <c r="S42">
        <v>0.056772</v>
      </c>
      <c r="T42">
        <f t="shared" si="0"/>
        <v>1</v>
      </c>
      <c r="U42">
        <f t="shared" si="1"/>
        <v>0</v>
      </c>
    </row>
    <row r="43" spans="1:21">
      <c r="A43" t="s">
        <v>90</v>
      </c>
      <c r="B43">
        <v>13</v>
      </c>
      <c r="C43">
        <v>7</v>
      </c>
      <c r="D43">
        <v>1</v>
      </c>
      <c r="E43">
        <v>0</v>
      </c>
      <c r="F43" s="3" t="s">
        <v>40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0.00279</v>
      </c>
      <c r="N43">
        <v>2</v>
      </c>
      <c r="O43" s="3" t="s">
        <v>72</v>
      </c>
      <c r="P43">
        <v>2</v>
      </c>
      <c r="Q43">
        <v>0.010502</v>
      </c>
      <c r="S43">
        <v>0.005966</v>
      </c>
      <c r="T43">
        <f t="shared" si="0"/>
        <v>1</v>
      </c>
      <c r="U43">
        <f t="shared" si="1"/>
        <v>0</v>
      </c>
    </row>
    <row r="44" spans="1:21">
      <c r="A44" t="s">
        <v>92</v>
      </c>
      <c r="B44">
        <v>5</v>
      </c>
      <c r="C44">
        <v>6</v>
      </c>
      <c r="D44">
        <v>4</v>
      </c>
      <c r="E44">
        <v>5</v>
      </c>
      <c r="F44" s="3" t="s">
        <v>72</v>
      </c>
      <c r="G44">
        <v>5</v>
      </c>
      <c r="H44" s="3" t="s">
        <v>83</v>
      </c>
      <c r="I44">
        <v>5</v>
      </c>
      <c r="J44" s="3" t="s">
        <v>21</v>
      </c>
      <c r="K44">
        <v>2</v>
      </c>
      <c r="L44">
        <v>2</v>
      </c>
      <c r="M44">
        <v>0.015037</v>
      </c>
      <c r="N44">
        <v>2</v>
      </c>
      <c r="O44" s="2">
        <v>4e-6</v>
      </c>
      <c r="P44">
        <v>2</v>
      </c>
      <c r="Q44">
        <v>0.020555</v>
      </c>
      <c r="S44">
        <v>0.010384</v>
      </c>
      <c r="T44">
        <f t="shared" si="0"/>
        <v>1</v>
      </c>
      <c r="U44">
        <f t="shared" si="1"/>
        <v>0</v>
      </c>
    </row>
    <row r="45" spans="1:21">
      <c r="A45" t="s">
        <v>93</v>
      </c>
      <c r="B45">
        <v>22</v>
      </c>
      <c r="C45">
        <v>12</v>
      </c>
      <c r="D45">
        <v>2</v>
      </c>
      <c r="E45">
        <v>1</v>
      </c>
      <c r="F45" s="3" t="s">
        <v>91</v>
      </c>
      <c r="G45">
        <v>0</v>
      </c>
      <c r="H45" s="3" t="s">
        <v>91</v>
      </c>
      <c r="I45">
        <v>0</v>
      </c>
      <c r="J45" s="3" t="s">
        <v>21</v>
      </c>
      <c r="K45">
        <v>0</v>
      </c>
      <c r="L45">
        <v>0</v>
      </c>
      <c r="M45">
        <v>0.009637</v>
      </c>
      <c r="N45">
        <v>2</v>
      </c>
      <c r="O45" s="3" t="s">
        <v>25</v>
      </c>
      <c r="P45">
        <v>2</v>
      </c>
      <c r="Q45">
        <v>0.04617</v>
      </c>
      <c r="S45">
        <v>0.008244</v>
      </c>
      <c r="T45">
        <f t="shared" si="0"/>
        <v>1</v>
      </c>
      <c r="U45">
        <f t="shared" si="1"/>
        <v>0</v>
      </c>
    </row>
    <row r="46" spans="1:21">
      <c r="A46" t="s">
        <v>94</v>
      </c>
      <c r="B46">
        <v>62</v>
      </c>
      <c r="C46">
        <v>442</v>
      </c>
      <c r="D46">
        <v>22</v>
      </c>
      <c r="E46">
        <v>207</v>
      </c>
      <c r="F46" s="3" t="s">
        <v>81</v>
      </c>
      <c r="G46">
        <v>168</v>
      </c>
      <c r="H46">
        <v>0.000366</v>
      </c>
      <c r="I46">
        <v>168</v>
      </c>
      <c r="J46">
        <v>0.011816</v>
      </c>
      <c r="K46">
        <v>29</v>
      </c>
      <c r="L46">
        <v>2</v>
      </c>
      <c r="M46">
        <v>0.015402</v>
      </c>
      <c r="N46">
        <v>16</v>
      </c>
      <c r="O46" s="3" t="s">
        <v>163</v>
      </c>
      <c r="P46">
        <v>16</v>
      </c>
      <c r="Q46">
        <v>0.035201</v>
      </c>
      <c r="S46">
        <v>0.017695</v>
      </c>
      <c r="T46">
        <f t="shared" si="0"/>
        <v>1</v>
      </c>
      <c r="U46">
        <f t="shared" si="1"/>
        <v>0</v>
      </c>
    </row>
    <row r="47" spans="1:21">
      <c r="A47" t="s">
        <v>96</v>
      </c>
      <c r="B47">
        <v>21</v>
      </c>
      <c r="C47">
        <v>23</v>
      </c>
      <c r="D47">
        <v>6</v>
      </c>
      <c r="E47">
        <v>15</v>
      </c>
      <c r="F47" s="3" t="s">
        <v>72</v>
      </c>
      <c r="G47">
        <v>15</v>
      </c>
      <c r="H47" s="3" t="s">
        <v>59</v>
      </c>
      <c r="I47">
        <v>15</v>
      </c>
      <c r="J47" s="3" t="s">
        <v>21</v>
      </c>
      <c r="K47">
        <v>1</v>
      </c>
      <c r="L47">
        <v>1</v>
      </c>
      <c r="M47">
        <v>0.033595</v>
      </c>
      <c r="N47">
        <v>5</v>
      </c>
      <c r="O47" s="2">
        <v>5e-6</v>
      </c>
      <c r="P47">
        <v>5</v>
      </c>
      <c r="Q47">
        <v>0.042315</v>
      </c>
      <c r="S47">
        <v>0.007948</v>
      </c>
      <c r="T47">
        <f t="shared" si="0"/>
        <v>1</v>
      </c>
      <c r="U47">
        <f t="shared" si="1"/>
        <v>0</v>
      </c>
    </row>
    <row r="48" spans="1:21">
      <c r="A48" t="s">
        <v>97</v>
      </c>
      <c r="B48">
        <v>10</v>
      </c>
      <c r="C48">
        <v>5</v>
      </c>
      <c r="D48">
        <v>0</v>
      </c>
      <c r="E48">
        <v>0</v>
      </c>
      <c r="F48" s="3" t="s">
        <v>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0.002723</v>
      </c>
      <c r="N48">
        <v>2</v>
      </c>
      <c r="O48" s="2">
        <v>3e-6</v>
      </c>
      <c r="P48">
        <v>2</v>
      </c>
      <c r="Q48">
        <v>0.010818</v>
      </c>
      <c r="S48">
        <v>0.005828</v>
      </c>
      <c r="T48">
        <f t="shared" si="0"/>
        <v>1</v>
      </c>
      <c r="U48">
        <f t="shared" si="1"/>
        <v>0</v>
      </c>
    </row>
    <row r="49" spans="1:21">
      <c r="A49" t="s">
        <v>98</v>
      </c>
      <c r="B49">
        <v>27</v>
      </c>
      <c r="C49">
        <v>26</v>
      </c>
      <c r="D49">
        <v>12</v>
      </c>
      <c r="E49">
        <v>16</v>
      </c>
      <c r="F49" s="3" t="s">
        <v>31</v>
      </c>
      <c r="G49">
        <v>13</v>
      </c>
      <c r="H49" s="3" t="s">
        <v>59</v>
      </c>
      <c r="I49">
        <v>10</v>
      </c>
      <c r="J49">
        <v>0.015212</v>
      </c>
      <c r="K49">
        <v>2</v>
      </c>
      <c r="L49">
        <v>2</v>
      </c>
      <c r="M49">
        <v>0.017842</v>
      </c>
      <c r="N49">
        <v>2</v>
      </c>
      <c r="O49" s="3" t="s">
        <v>25</v>
      </c>
      <c r="P49">
        <v>3</v>
      </c>
      <c r="Q49">
        <v>0.055718</v>
      </c>
      <c r="S49">
        <v>0.013144</v>
      </c>
      <c r="T49">
        <f t="shared" si="0"/>
        <v>1</v>
      </c>
      <c r="U49">
        <f t="shared" si="1"/>
        <v>0</v>
      </c>
    </row>
    <row r="50" spans="1:21">
      <c r="A50" t="s">
        <v>100</v>
      </c>
      <c r="B50">
        <v>273</v>
      </c>
      <c r="C50">
        <v>4510</v>
      </c>
      <c r="D50">
        <v>118</v>
      </c>
      <c r="E50">
        <v>3319</v>
      </c>
      <c r="F50">
        <v>0.000422</v>
      </c>
      <c r="G50">
        <v>3304</v>
      </c>
      <c r="H50">
        <v>0.013204</v>
      </c>
      <c r="I50">
        <v>3302</v>
      </c>
      <c r="J50">
        <v>1.47681</v>
      </c>
      <c r="K50">
        <v>5634</v>
      </c>
      <c r="L50">
        <v>690</v>
      </c>
      <c r="M50">
        <v>4.62155</v>
      </c>
      <c r="N50">
        <v>25</v>
      </c>
      <c r="O50" s="2">
        <v>0.000576</v>
      </c>
      <c r="P50">
        <v>32</v>
      </c>
      <c r="Q50">
        <v>6.13101</v>
      </c>
      <c r="S50">
        <v>1.52971</v>
      </c>
      <c r="T50">
        <f t="shared" si="0"/>
        <v>1</v>
      </c>
      <c r="U50">
        <f t="shared" si="1"/>
        <v>0</v>
      </c>
    </row>
    <row r="51" spans="1:21">
      <c r="A51" t="s">
        <v>101</v>
      </c>
      <c r="B51">
        <v>102</v>
      </c>
      <c r="C51">
        <v>108</v>
      </c>
      <c r="D51">
        <v>11</v>
      </c>
      <c r="E51">
        <v>33</v>
      </c>
      <c r="F51" s="3" t="s">
        <v>59</v>
      </c>
      <c r="G51">
        <v>33</v>
      </c>
      <c r="H51" s="3" t="s">
        <v>39</v>
      </c>
      <c r="I51">
        <v>33</v>
      </c>
      <c r="J51">
        <v>0.006395</v>
      </c>
      <c r="K51">
        <v>9</v>
      </c>
      <c r="L51">
        <v>3</v>
      </c>
      <c r="M51">
        <v>0.009329</v>
      </c>
      <c r="N51">
        <v>4</v>
      </c>
      <c r="O51" s="3" t="s">
        <v>60</v>
      </c>
      <c r="P51">
        <v>5</v>
      </c>
      <c r="Q51">
        <v>0.03515</v>
      </c>
      <c r="S51">
        <v>0.009102</v>
      </c>
      <c r="T51">
        <f t="shared" si="0"/>
        <v>1</v>
      </c>
      <c r="U51">
        <f t="shared" si="1"/>
        <v>0</v>
      </c>
    </row>
    <row r="52" spans="1:21">
      <c r="A52" t="s">
        <v>103</v>
      </c>
      <c r="B52">
        <v>8</v>
      </c>
      <c r="C52">
        <v>4</v>
      </c>
      <c r="D52">
        <v>0</v>
      </c>
      <c r="E52">
        <v>0</v>
      </c>
      <c r="F52" s="3" t="s">
        <v>40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0.002993</v>
      </c>
      <c r="N52">
        <v>2</v>
      </c>
      <c r="O52" s="3" t="s">
        <v>91</v>
      </c>
      <c r="P52">
        <v>2</v>
      </c>
      <c r="Q52">
        <v>0.009631</v>
      </c>
      <c r="S52">
        <v>0.010601</v>
      </c>
      <c r="T52">
        <f t="shared" si="0"/>
        <v>0</v>
      </c>
      <c r="U52">
        <f t="shared" si="1"/>
        <v>1</v>
      </c>
    </row>
    <row r="53" spans="1:21">
      <c r="A53" t="s">
        <v>104</v>
      </c>
      <c r="B53">
        <v>55</v>
      </c>
      <c r="C53">
        <v>60</v>
      </c>
      <c r="D53">
        <v>8</v>
      </c>
      <c r="E53">
        <v>20</v>
      </c>
      <c r="F53" s="3" t="s">
        <v>85</v>
      </c>
      <c r="G53">
        <v>10</v>
      </c>
      <c r="H53" s="3" t="s">
        <v>59</v>
      </c>
      <c r="I53">
        <v>10</v>
      </c>
      <c r="J53">
        <v>0.006772</v>
      </c>
      <c r="K53">
        <v>7</v>
      </c>
      <c r="L53">
        <v>1</v>
      </c>
      <c r="M53">
        <v>0.01147</v>
      </c>
      <c r="N53">
        <v>4</v>
      </c>
      <c r="O53" s="3" t="s">
        <v>99</v>
      </c>
      <c r="P53">
        <v>4</v>
      </c>
      <c r="Q53">
        <v>0.024347</v>
      </c>
      <c r="S53">
        <v>0.009275</v>
      </c>
      <c r="T53">
        <f t="shared" si="0"/>
        <v>1</v>
      </c>
      <c r="U53">
        <f t="shared" si="1"/>
        <v>0</v>
      </c>
    </row>
    <row r="54" spans="1:21">
      <c r="A54" t="s">
        <v>105</v>
      </c>
      <c r="B54">
        <v>127</v>
      </c>
      <c r="C54">
        <v>931</v>
      </c>
      <c r="D54">
        <v>42</v>
      </c>
      <c r="E54">
        <v>509</v>
      </c>
      <c r="F54" s="3" t="s">
        <v>175</v>
      </c>
      <c r="G54">
        <v>504</v>
      </c>
      <c r="H54">
        <v>0.001098</v>
      </c>
      <c r="I54">
        <v>504</v>
      </c>
      <c r="J54">
        <v>0.034467</v>
      </c>
      <c r="K54">
        <v>218</v>
      </c>
      <c r="L54">
        <v>31</v>
      </c>
      <c r="M54">
        <v>0.012451</v>
      </c>
      <c r="N54">
        <v>15</v>
      </c>
      <c r="O54" s="2">
        <v>8.6e-5</v>
      </c>
      <c r="P54">
        <v>16</v>
      </c>
      <c r="Q54">
        <v>0.056342</v>
      </c>
      <c r="S54">
        <v>0.04873</v>
      </c>
      <c r="T54">
        <f t="shared" si="0"/>
        <v>1</v>
      </c>
      <c r="U54">
        <f t="shared" si="1"/>
        <v>0</v>
      </c>
    </row>
    <row r="55" spans="1:21">
      <c r="A55" t="s">
        <v>107</v>
      </c>
      <c r="B55">
        <v>16</v>
      </c>
      <c r="C55">
        <v>13</v>
      </c>
      <c r="D55">
        <v>5</v>
      </c>
      <c r="E55">
        <v>5</v>
      </c>
      <c r="F55" s="3" t="s">
        <v>40</v>
      </c>
      <c r="G55">
        <v>5</v>
      </c>
      <c r="H55" s="3" t="s">
        <v>72</v>
      </c>
      <c r="I55">
        <v>5</v>
      </c>
      <c r="J55">
        <v>0</v>
      </c>
      <c r="K55">
        <v>2</v>
      </c>
      <c r="L55">
        <v>2</v>
      </c>
      <c r="M55">
        <v>0.023102</v>
      </c>
      <c r="N55">
        <v>2</v>
      </c>
      <c r="O55" s="2">
        <v>4e-6</v>
      </c>
      <c r="P55">
        <v>2</v>
      </c>
      <c r="Q55">
        <v>0.043728</v>
      </c>
      <c r="S55">
        <v>0.040694</v>
      </c>
      <c r="T55">
        <f t="shared" si="0"/>
        <v>1</v>
      </c>
      <c r="U55">
        <f t="shared" si="1"/>
        <v>0</v>
      </c>
    </row>
    <row r="56" spans="1:21">
      <c r="A56" t="s">
        <v>108</v>
      </c>
      <c r="B56">
        <v>35</v>
      </c>
      <c r="C56">
        <v>368</v>
      </c>
      <c r="D56">
        <v>27</v>
      </c>
      <c r="E56">
        <v>351</v>
      </c>
      <c r="F56" s="3" t="s">
        <v>24</v>
      </c>
      <c r="G56">
        <v>351</v>
      </c>
      <c r="H56">
        <v>0.000761</v>
      </c>
      <c r="I56">
        <v>351</v>
      </c>
      <c r="J56" s="3" t="s">
        <v>55</v>
      </c>
      <c r="K56">
        <v>1</v>
      </c>
      <c r="L56">
        <v>1</v>
      </c>
      <c r="M56">
        <v>0.049635</v>
      </c>
      <c r="N56">
        <v>26</v>
      </c>
      <c r="O56" s="2">
        <v>2.9e-5</v>
      </c>
      <c r="P56">
        <v>26</v>
      </c>
      <c r="Q56">
        <v>0.057694</v>
      </c>
      <c r="S56">
        <v>0.019321</v>
      </c>
      <c r="T56">
        <f t="shared" si="0"/>
        <v>1</v>
      </c>
      <c r="U56">
        <f t="shared" si="1"/>
        <v>0</v>
      </c>
    </row>
    <row r="57" spans="1:21">
      <c r="A57" t="s">
        <v>109</v>
      </c>
      <c r="B57">
        <v>26</v>
      </c>
      <c r="C57">
        <v>15</v>
      </c>
      <c r="D57">
        <v>3</v>
      </c>
      <c r="E57">
        <v>1</v>
      </c>
      <c r="F57" s="3" t="s">
        <v>31</v>
      </c>
      <c r="G57">
        <v>0</v>
      </c>
      <c r="H57" s="3" t="s">
        <v>83</v>
      </c>
      <c r="I57">
        <v>0</v>
      </c>
      <c r="J57" s="3" t="s">
        <v>21</v>
      </c>
      <c r="K57">
        <v>0</v>
      </c>
      <c r="L57">
        <v>0</v>
      </c>
      <c r="M57">
        <v>0.004281</v>
      </c>
      <c r="N57">
        <v>2</v>
      </c>
      <c r="O57" s="2">
        <v>1.3e-5</v>
      </c>
      <c r="P57">
        <v>2</v>
      </c>
      <c r="Q57">
        <v>0.014376</v>
      </c>
      <c r="S57">
        <v>0.005125</v>
      </c>
      <c r="T57">
        <f t="shared" si="0"/>
        <v>1</v>
      </c>
      <c r="U57">
        <f t="shared" si="1"/>
        <v>0</v>
      </c>
    </row>
    <row r="58" spans="1:21">
      <c r="A58" t="s">
        <v>110</v>
      </c>
      <c r="B58">
        <v>14</v>
      </c>
      <c r="C58">
        <v>11</v>
      </c>
      <c r="D58">
        <v>5</v>
      </c>
      <c r="E58">
        <v>3</v>
      </c>
      <c r="F58" s="3" t="s">
        <v>40</v>
      </c>
      <c r="G58">
        <v>3</v>
      </c>
      <c r="H58" s="3" t="s">
        <v>91</v>
      </c>
      <c r="I58">
        <v>3</v>
      </c>
      <c r="J58" s="3" t="s">
        <v>21</v>
      </c>
      <c r="K58">
        <v>1</v>
      </c>
      <c r="L58">
        <v>1</v>
      </c>
      <c r="M58">
        <v>0.014923</v>
      </c>
      <c r="N58">
        <v>2</v>
      </c>
      <c r="O58" s="2">
        <v>4e-6</v>
      </c>
      <c r="P58">
        <v>2</v>
      </c>
      <c r="Q58">
        <v>0.032573</v>
      </c>
      <c r="S58">
        <v>0.015242</v>
      </c>
      <c r="T58">
        <f t="shared" si="0"/>
        <v>1</v>
      </c>
      <c r="U58">
        <f t="shared" si="1"/>
        <v>0</v>
      </c>
    </row>
    <row r="59" spans="1:21">
      <c r="A59" t="s">
        <v>111</v>
      </c>
      <c r="B59">
        <v>28</v>
      </c>
      <c r="C59">
        <v>91</v>
      </c>
      <c r="D59">
        <v>12</v>
      </c>
      <c r="E59">
        <v>55</v>
      </c>
      <c r="F59" s="3" t="s">
        <v>77</v>
      </c>
      <c r="G59">
        <v>55</v>
      </c>
      <c r="H59" s="3" t="s">
        <v>157</v>
      </c>
      <c r="I59">
        <v>55</v>
      </c>
      <c r="J59">
        <v>0.006187</v>
      </c>
      <c r="K59">
        <v>25</v>
      </c>
      <c r="L59">
        <v>4</v>
      </c>
      <c r="M59">
        <v>0.008096</v>
      </c>
      <c r="N59">
        <v>7</v>
      </c>
      <c r="O59" s="2">
        <v>1.4e-5</v>
      </c>
      <c r="P59">
        <v>7</v>
      </c>
      <c r="Q59">
        <v>0.01997</v>
      </c>
      <c r="S59">
        <v>0.008064</v>
      </c>
      <c r="T59">
        <f t="shared" si="0"/>
        <v>1</v>
      </c>
      <c r="U59">
        <f t="shared" si="1"/>
        <v>0</v>
      </c>
    </row>
    <row r="60" spans="1:21">
      <c r="A60" t="s">
        <v>115</v>
      </c>
      <c r="B60">
        <v>26</v>
      </c>
      <c r="C60">
        <v>18</v>
      </c>
      <c r="D60">
        <v>6</v>
      </c>
      <c r="E60">
        <v>6</v>
      </c>
      <c r="F60" s="3" t="s">
        <v>91</v>
      </c>
      <c r="G60">
        <v>5</v>
      </c>
      <c r="H60" s="3" t="s">
        <v>72</v>
      </c>
      <c r="I60">
        <v>4</v>
      </c>
      <c r="J60">
        <v>0.005613</v>
      </c>
      <c r="K60">
        <v>1</v>
      </c>
      <c r="L60">
        <v>1</v>
      </c>
      <c r="M60">
        <v>0.012295</v>
      </c>
      <c r="N60">
        <v>2</v>
      </c>
      <c r="O60" s="2">
        <v>5e-6</v>
      </c>
      <c r="P60">
        <v>2</v>
      </c>
      <c r="Q60">
        <v>0.027907</v>
      </c>
      <c r="S60">
        <v>0.041192</v>
      </c>
      <c r="T60">
        <f t="shared" si="0"/>
        <v>0</v>
      </c>
      <c r="U60">
        <f t="shared" si="1"/>
        <v>1</v>
      </c>
    </row>
    <row r="61" spans="1:21">
      <c r="A61" t="s">
        <v>116</v>
      </c>
      <c r="B61">
        <v>13</v>
      </c>
      <c r="C61">
        <v>8</v>
      </c>
      <c r="D61">
        <v>2</v>
      </c>
      <c r="E61">
        <v>1</v>
      </c>
      <c r="F61" s="3" t="s">
        <v>91</v>
      </c>
      <c r="G61">
        <v>0</v>
      </c>
      <c r="H61" s="3" t="s">
        <v>40</v>
      </c>
      <c r="I61">
        <v>0</v>
      </c>
      <c r="J61">
        <v>0</v>
      </c>
      <c r="K61">
        <v>0</v>
      </c>
      <c r="L61">
        <v>0</v>
      </c>
      <c r="M61">
        <v>0.002843</v>
      </c>
      <c r="N61">
        <v>2</v>
      </c>
      <c r="O61" s="2">
        <v>4e-6</v>
      </c>
      <c r="P61">
        <v>2</v>
      </c>
      <c r="Q61">
        <v>0.008546</v>
      </c>
      <c r="S61">
        <v>0.007154</v>
      </c>
      <c r="T61">
        <f t="shared" si="0"/>
        <v>1</v>
      </c>
      <c r="U61">
        <f t="shared" si="1"/>
        <v>0</v>
      </c>
    </row>
    <row r="62" spans="1:21">
      <c r="A62" t="s">
        <v>117</v>
      </c>
      <c r="B62">
        <v>18</v>
      </c>
      <c r="C62">
        <v>12</v>
      </c>
      <c r="D62">
        <v>5</v>
      </c>
      <c r="E62">
        <v>3</v>
      </c>
      <c r="F62" s="3" t="s">
        <v>91</v>
      </c>
      <c r="G62">
        <v>3</v>
      </c>
      <c r="H62" s="3" t="s">
        <v>83</v>
      </c>
      <c r="I62">
        <v>3</v>
      </c>
      <c r="J62" s="3" t="s">
        <v>21</v>
      </c>
      <c r="K62">
        <v>1</v>
      </c>
      <c r="L62">
        <v>1</v>
      </c>
      <c r="M62">
        <v>0.012608</v>
      </c>
      <c r="N62">
        <v>2</v>
      </c>
      <c r="O62" s="3" t="s">
        <v>31</v>
      </c>
      <c r="P62">
        <v>2</v>
      </c>
      <c r="Q62">
        <v>0.019021</v>
      </c>
      <c r="S62">
        <v>0.012869</v>
      </c>
      <c r="T62">
        <f t="shared" si="0"/>
        <v>1</v>
      </c>
      <c r="U62">
        <f t="shared" si="1"/>
        <v>0</v>
      </c>
    </row>
    <row r="63" spans="1:21">
      <c r="A63" t="s">
        <v>118</v>
      </c>
      <c r="B63">
        <v>7</v>
      </c>
      <c r="C63">
        <v>5</v>
      </c>
      <c r="D63">
        <v>3</v>
      </c>
      <c r="E63">
        <v>3</v>
      </c>
      <c r="F63" s="3" t="s">
        <v>40</v>
      </c>
      <c r="G63">
        <v>3</v>
      </c>
      <c r="H63" s="3" t="s">
        <v>72</v>
      </c>
      <c r="I63">
        <v>3</v>
      </c>
      <c r="J63" s="3" t="s">
        <v>21</v>
      </c>
      <c r="K63">
        <v>1</v>
      </c>
      <c r="L63">
        <v>1</v>
      </c>
      <c r="M63">
        <v>0.022373</v>
      </c>
      <c r="N63">
        <v>2</v>
      </c>
      <c r="O63" s="3" t="s">
        <v>40</v>
      </c>
      <c r="P63">
        <v>2</v>
      </c>
      <c r="Q63">
        <v>0.043764</v>
      </c>
      <c r="S63">
        <v>0.016269</v>
      </c>
      <c r="T63">
        <f t="shared" si="0"/>
        <v>1</v>
      </c>
      <c r="U63">
        <f t="shared" si="1"/>
        <v>0</v>
      </c>
    </row>
    <row r="64" spans="1:21">
      <c r="A64" t="s">
        <v>119</v>
      </c>
      <c r="B64">
        <v>2623</v>
      </c>
      <c r="C64">
        <v>473614</v>
      </c>
      <c r="D64">
        <v>1356</v>
      </c>
      <c r="E64">
        <v>463254</v>
      </c>
      <c r="F64">
        <v>0.073495</v>
      </c>
      <c r="G64">
        <v>463106</v>
      </c>
      <c r="H64">
        <v>51.7707</v>
      </c>
      <c r="I64">
        <v>463106</v>
      </c>
      <c r="J64">
        <v>541.503</v>
      </c>
      <c r="K64">
        <v>391</v>
      </c>
      <c r="L64">
        <v>0</v>
      </c>
      <c r="M64">
        <v>-1</v>
      </c>
      <c r="N64">
        <v>111</v>
      </c>
      <c r="O64">
        <v>1.08821</v>
      </c>
      <c r="P64">
        <v>111</v>
      </c>
      <c r="Q64">
        <v>600</v>
      </c>
      <c r="S64">
        <v>600</v>
      </c>
      <c r="T64">
        <f t="shared" si="0"/>
        <v>0</v>
      </c>
      <c r="U64">
        <f t="shared" si="1"/>
        <v>0</v>
      </c>
    </row>
    <row r="65" spans="1:21">
      <c r="A65" t="s">
        <v>120</v>
      </c>
      <c r="B65">
        <v>56739</v>
      </c>
      <c r="C65">
        <v>212945</v>
      </c>
      <c r="D65">
        <v>12654</v>
      </c>
      <c r="E65">
        <v>130557</v>
      </c>
      <c r="F65">
        <v>0.034471</v>
      </c>
      <c r="G65">
        <v>57149</v>
      </c>
      <c r="H65">
        <v>0.34445</v>
      </c>
      <c r="I65">
        <v>56977</v>
      </c>
      <c r="J65">
        <v>0.469143</v>
      </c>
      <c r="K65">
        <v>5608</v>
      </c>
      <c r="L65">
        <v>0</v>
      </c>
      <c r="M65">
        <v>-1</v>
      </c>
      <c r="N65">
        <v>6</v>
      </c>
      <c r="O65">
        <v>0.032544</v>
      </c>
      <c r="P65">
        <v>27</v>
      </c>
      <c r="Q65">
        <v>600</v>
      </c>
      <c r="S65">
        <v>600</v>
      </c>
      <c r="T65">
        <f t="shared" si="0"/>
        <v>0</v>
      </c>
      <c r="U65">
        <f t="shared" si="1"/>
        <v>0</v>
      </c>
    </row>
    <row r="66" spans="1:21">
      <c r="A66" t="s">
        <v>121</v>
      </c>
      <c r="B66">
        <v>62</v>
      </c>
      <c r="C66">
        <v>159</v>
      </c>
      <c r="D66">
        <v>31</v>
      </c>
      <c r="E66">
        <v>90</v>
      </c>
      <c r="F66" s="3" t="s">
        <v>114</v>
      </c>
      <c r="G66">
        <v>0</v>
      </c>
      <c r="H66" s="3" t="s">
        <v>183</v>
      </c>
      <c r="I66">
        <v>0</v>
      </c>
      <c r="J66">
        <v>0</v>
      </c>
      <c r="K66">
        <v>0</v>
      </c>
      <c r="L66">
        <v>0</v>
      </c>
      <c r="M66">
        <v>0.002607</v>
      </c>
      <c r="N66">
        <v>5</v>
      </c>
      <c r="O66" s="3" t="s">
        <v>112</v>
      </c>
      <c r="P66">
        <v>5</v>
      </c>
      <c r="Q66">
        <v>0.008819</v>
      </c>
      <c r="S66">
        <v>0.009444</v>
      </c>
      <c r="T66">
        <f t="shared" ref="T66:T96" si="2">IF(S66&lt;Q66,1,0)</f>
        <v>0</v>
      </c>
      <c r="U66">
        <f t="shared" ref="U66:U96" si="3">IF(Q66&lt;S66,1,0)</f>
        <v>1</v>
      </c>
    </row>
    <row r="67" spans="1:21">
      <c r="A67" t="s">
        <v>124</v>
      </c>
      <c r="B67">
        <v>154908</v>
      </c>
      <c r="C67">
        <v>327162</v>
      </c>
      <c r="D67">
        <v>29489</v>
      </c>
      <c r="E67">
        <v>179659</v>
      </c>
      <c r="F67">
        <v>0.048299</v>
      </c>
      <c r="G67">
        <v>23461</v>
      </c>
      <c r="H67">
        <v>0.153857</v>
      </c>
      <c r="I67">
        <v>23119</v>
      </c>
      <c r="J67">
        <v>0.167426</v>
      </c>
      <c r="K67">
        <v>3812</v>
      </c>
      <c r="L67">
        <v>0</v>
      </c>
      <c r="M67">
        <v>-1</v>
      </c>
      <c r="N67">
        <v>3</v>
      </c>
      <c r="O67" s="2">
        <v>0.042671</v>
      </c>
      <c r="P67">
        <v>4</v>
      </c>
      <c r="Q67">
        <v>600</v>
      </c>
      <c r="S67">
        <v>600</v>
      </c>
      <c r="T67">
        <f t="shared" si="2"/>
        <v>0</v>
      </c>
      <c r="U67">
        <f t="shared" si="3"/>
        <v>0</v>
      </c>
    </row>
    <row r="68" spans="1:21">
      <c r="A68" t="s">
        <v>125</v>
      </c>
      <c r="B68">
        <v>26588</v>
      </c>
      <c r="C68">
        <v>100120</v>
      </c>
      <c r="D68">
        <v>6237</v>
      </c>
      <c r="E68">
        <v>68623</v>
      </c>
      <c r="F68">
        <v>0.013546</v>
      </c>
      <c r="G68">
        <v>30440</v>
      </c>
      <c r="H68">
        <v>0.127456</v>
      </c>
      <c r="I68">
        <v>30187</v>
      </c>
      <c r="J68">
        <v>0.288398</v>
      </c>
      <c r="K68">
        <v>4283</v>
      </c>
      <c r="L68">
        <v>0</v>
      </c>
      <c r="M68">
        <v>-1</v>
      </c>
      <c r="N68">
        <v>5</v>
      </c>
      <c r="O68">
        <v>0.010019</v>
      </c>
      <c r="P68">
        <v>9</v>
      </c>
      <c r="Q68">
        <v>600</v>
      </c>
      <c r="S68">
        <v>600</v>
      </c>
      <c r="T68">
        <f t="shared" si="2"/>
        <v>0</v>
      </c>
      <c r="U68">
        <f t="shared" si="3"/>
        <v>0</v>
      </c>
    </row>
    <row r="69" spans="1:21">
      <c r="A69" t="s">
        <v>126</v>
      </c>
      <c r="B69">
        <v>22900</v>
      </c>
      <c r="C69">
        <v>852419</v>
      </c>
      <c r="D69">
        <v>19597</v>
      </c>
      <c r="E69">
        <v>837455</v>
      </c>
      <c r="F69">
        <v>0.172374</v>
      </c>
      <c r="G69">
        <v>477729</v>
      </c>
      <c r="H69">
        <v>6.97447</v>
      </c>
      <c r="I69">
        <v>477469</v>
      </c>
      <c r="J69">
        <v>0.834766</v>
      </c>
      <c r="K69">
        <v>340</v>
      </c>
      <c r="L69">
        <v>0</v>
      </c>
      <c r="M69">
        <v>-1</v>
      </c>
      <c r="N69">
        <v>11</v>
      </c>
      <c r="O69">
        <v>0.190406</v>
      </c>
      <c r="P69">
        <v>11</v>
      </c>
      <c r="Q69">
        <v>600</v>
      </c>
      <c r="S69">
        <v>600</v>
      </c>
      <c r="T69">
        <f t="shared" si="2"/>
        <v>0</v>
      </c>
      <c r="U69">
        <f t="shared" si="3"/>
        <v>0</v>
      </c>
    </row>
    <row r="70" spans="1:21">
      <c r="A70" t="s">
        <v>127</v>
      </c>
      <c r="B70">
        <v>6621</v>
      </c>
      <c r="C70">
        <v>249959</v>
      </c>
      <c r="D70">
        <v>5636</v>
      </c>
      <c r="E70">
        <v>245534</v>
      </c>
      <c r="F70">
        <v>0.053845</v>
      </c>
      <c r="G70">
        <v>182874</v>
      </c>
      <c r="H70">
        <v>1.64671</v>
      </c>
      <c r="I70">
        <v>182616</v>
      </c>
      <c r="J70">
        <v>0.54946</v>
      </c>
      <c r="K70">
        <v>1030</v>
      </c>
      <c r="L70">
        <v>0</v>
      </c>
      <c r="M70">
        <v>-1</v>
      </c>
      <c r="N70">
        <v>11</v>
      </c>
      <c r="O70" s="2">
        <v>0.050007</v>
      </c>
      <c r="P70">
        <v>44</v>
      </c>
      <c r="Q70">
        <v>600</v>
      </c>
      <c r="S70">
        <v>600</v>
      </c>
      <c r="T70">
        <f t="shared" si="2"/>
        <v>0</v>
      </c>
      <c r="U70">
        <f t="shared" si="3"/>
        <v>0</v>
      </c>
    </row>
    <row r="71" spans="1:21">
      <c r="A71" t="s">
        <v>128</v>
      </c>
      <c r="B71">
        <v>9885</v>
      </c>
      <c r="C71">
        <v>506437</v>
      </c>
      <c r="D71">
        <v>8750</v>
      </c>
      <c r="E71">
        <v>502140</v>
      </c>
      <c r="F71">
        <v>0.092054</v>
      </c>
      <c r="G71">
        <v>411412</v>
      </c>
      <c r="H71">
        <v>4.4195</v>
      </c>
      <c r="I71">
        <v>411172</v>
      </c>
      <c r="J71">
        <v>0.7852</v>
      </c>
      <c r="K71">
        <v>360</v>
      </c>
      <c r="L71">
        <v>0</v>
      </c>
      <c r="M71">
        <v>-1</v>
      </c>
      <c r="N71">
        <v>10</v>
      </c>
      <c r="O71" s="2">
        <v>0.101</v>
      </c>
      <c r="P71">
        <v>10</v>
      </c>
      <c r="Q71">
        <v>600</v>
      </c>
      <c r="S71">
        <v>600</v>
      </c>
      <c r="T71">
        <f t="shared" si="2"/>
        <v>0</v>
      </c>
      <c r="U71">
        <f t="shared" si="3"/>
        <v>0</v>
      </c>
    </row>
    <row r="72" spans="1:21">
      <c r="A72" t="s">
        <v>129</v>
      </c>
      <c r="B72">
        <v>6402</v>
      </c>
      <c r="C72">
        <v>251230</v>
      </c>
      <c r="D72">
        <v>5251</v>
      </c>
      <c r="E72">
        <v>246408</v>
      </c>
      <c r="F72">
        <v>0.0433</v>
      </c>
      <c r="G72">
        <v>187297</v>
      </c>
      <c r="H72">
        <v>1.81515</v>
      </c>
      <c r="I72">
        <v>187058</v>
      </c>
      <c r="J72">
        <v>0.488346</v>
      </c>
      <c r="K72">
        <v>1459</v>
      </c>
      <c r="L72">
        <v>0</v>
      </c>
      <c r="M72">
        <v>-1</v>
      </c>
      <c r="N72">
        <v>11</v>
      </c>
      <c r="O72">
        <v>0.042773</v>
      </c>
      <c r="P72">
        <v>31</v>
      </c>
      <c r="Q72">
        <v>600</v>
      </c>
      <c r="S72">
        <v>600</v>
      </c>
      <c r="T72">
        <f t="shared" si="2"/>
        <v>0</v>
      </c>
      <c r="U72">
        <f t="shared" si="3"/>
        <v>0</v>
      </c>
    </row>
    <row r="73" spans="1:21">
      <c r="A73" t="s">
        <v>130</v>
      </c>
      <c r="B73">
        <v>63392</v>
      </c>
      <c r="C73">
        <v>816886</v>
      </c>
      <c r="D73">
        <v>34031</v>
      </c>
      <c r="E73">
        <v>729402</v>
      </c>
      <c r="F73">
        <v>0.154719</v>
      </c>
      <c r="G73">
        <v>405806</v>
      </c>
      <c r="H73">
        <v>2.64928</v>
      </c>
      <c r="I73">
        <v>405581</v>
      </c>
      <c r="J73">
        <v>0.47722</v>
      </c>
      <c r="K73">
        <v>375</v>
      </c>
      <c r="L73">
        <v>0</v>
      </c>
      <c r="M73">
        <v>-1</v>
      </c>
      <c r="N73">
        <v>8</v>
      </c>
      <c r="O73">
        <v>0.136317</v>
      </c>
      <c r="P73">
        <v>8</v>
      </c>
      <c r="Q73">
        <v>600</v>
      </c>
      <c r="S73">
        <v>600</v>
      </c>
      <c r="T73">
        <f t="shared" si="2"/>
        <v>0</v>
      </c>
      <c r="U73">
        <f t="shared" si="3"/>
        <v>0</v>
      </c>
    </row>
    <row r="74" spans="1:21">
      <c r="A74" t="s">
        <v>131</v>
      </c>
      <c r="B74">
        <v>11586</v>
      </c>
      <c r="C74">
        <v>568309</v>
      </c>
      <c r="D74">
        <v>9357</v>
      </c>
      <c r="E74">
        <v>558776</v>
      </c>
      <c r="F74">
        <v>0.105875</v>
      </c>
      <c r="G74">
        <v>440442</v>
      </c>
      <c r="H74">
        <v>5.43565</v>
      </c>
      <c r="I74">
        <v>440192</v>
      </c>
      <c r="J74">
        <v>1.08518</v>
      </c>
      <c r="K74">
        <v>350</v>
      </c>
      <c r="L74">
        <v>0</v>
      </c>
      <c r="M74">
        <v>-1</v>
      </c>
      <c r="N74">
        <v>11</v>
      </c>
      <c r="O74">
        <v>0.127652</v>
      </c>
      <c r="P74">
        <v>11</v>
      </c>
      <c r="Q74">
        <v>600</v>
      </c>
      <c r="S74">
        <v>600</v>
      </c>
      <c r="T74">
        <f t="shared" si="2"/>
        <v>0</v>
      </c>
      <c r="U74">
        <f t="shared" si="3"/>
        <v>0</v>
      </c>
    </row>
    <row r="75" spans="1:21">
      <c r="A75" t="s">
        <v>132</v>
      </c>
      <c r="B75">
        <v>20453</v>
      </c>
      <c r="C75">
        <v>747604</v>
      </c>
      <c r="D75">
        <v>16605</v>
      </c>
      <c r="E75">
        <v>727744</v>
      </c>
      <c r="F75">
        <v>0.126633</v>
      </c>
      <c r="G75">
        <v>412981</v>
      </c>
      <c r="H75">
        <v>5.1116</v>
      </c>
      <c r="I75">
        <v>412729</v>
      </c>
      <c r="J75">
        <v>0.636594</v>
      </c>
      <c r="K75">
        <v>348</v>
      </c>
      <c r="L75">
        <v>0</v>
      </c>
      <c r="M75">
        <v>-1</v>
      </c>
      <c r="N75">
        <v>12</v>
      </c>
      <c r="O75">
        <v>0.131104</v>
      </c>
      <c r="P75">
        <v>12</v>
      </c>
      <c r="Q75">
        <v>600</v>
      </c>
      <c r="S75">
        <v>600</v>
      </c>
      <c r="T75">
        <f t="shared" si="2"/>
        <v>0</v>
      </c>
      <c r="U75">
        <f t="shared" si="3"/>
        <v>0</v>
      </c>
    </row>
    <row r="76" spans="1:21">
      <c r="A76" t="s">
        <v>133</v>
      </c>
      <c r="B76">
        <v>17206</v>
      </c>
      <c r="C76">
        <v>604867</v>
      </c>
      <c r="D76">
        <v>15391</v>
      </c>
      <c r="E76">
        <v>596940</v>
      </c>
      <c r="F76">
        <v>0.119442</v>
      </c>
      <c r="G76">
        <v>329464</v>
      </c>
      <c r="H76">
        <v>3.72325</v>
      </c>
      <c r="I76">
        <v>329194</v>
      </c>
      <c r="J76">
        <v>0.57273</v>
      </c>
      <c r="K76">
        <v>661</v>
      </c>
      <c r="L76">
        <v>0</v>
      </c>
      <c r="M76">
        <v>-1</v>
      </c>
      <c r="N76">
        <v>10</v>
      </c>
      <c r="O76">
        <v>0.117969</v>
      </c>
      <c r="P76">
        <v>50</v>
      </c>
      <c r="Q76">
        <v>600</v>
      </c>
      <c r="S76">
        <v>600</v>
      </c>
      <c r="T76">
        <f t="shared" si="2"/>
        <v>0</v>
      </c>
      <c r="U76">
        <f t="shared" si="3"/>
        <v>0</v>
      </c>
    </row>
    <row r="77" spans="1:21">
      <c r="A77" t="s">
        <v>134</v>
      </c>
      <c r="B77">
        <v>14917</v>
      </c>
      <c r="C77">
        <v>482215</v>
      </c>
      <c r="D77">
        <v>12386</v>
      </c>
      <c r="E77">
        <v>468829</v>
      </c>
      <c r="F77">
        <v>0.096609</v>
      </c>
      <c r="G77">
        <v>246353</v>
      </c>
      <c r="H77">
        <v>3.15635</v>
      </c>
      <c r="I77">
        <v>246086</v>
      </c>
      <c r="J77">
        <v>1.45354</v>
      </c>
      <c r="K77">
        <v>667</v>
      </c>
      <c r="L77">
        <v>0</v>
      </c>
      <c r="M77">
        <v>-1</v>
      </c>
      <c r="N77">
        <v>12</v>
      </c>
      <c r="O77">
        <v>0.095963</v>
      </c>
      <c r="P77">
        <v>53</v>
      </c>
      <c r="Q77">
        <v>600</v>
      </c>
      <c r="S77">
        <v>600</v>
      </c>
      <c r="T77">
        <f t="shared" si="2"/>
        <v>0</v>
      </c>
      <c r="U77">
        <f t="shared" si="3"/>
        <v>0</v>
      </c>
    </row>
    <row r="78" spans="1:21">
      <c r="A78" t="s">
        <v>135</v>
      </c>
      <c r="B78">
        <v>23831</v>
      </c>
      <c r="C78">
        <v>835946</v>
      </c>
      <c r="D78">
        <v>21219</v>
      </c>
      <c r="E78">
        <v>824515</v>
      </c>
      <c r="F78">
        <v>0.146718</v>
      </c>
      <c r="G78">
        <v>478601</v>
      </c>
      <c r="H78">
        <v>5.23928</v>
      </c>
      <c r="I78">
        <v>478359</v>
      </c>
      <c r="J78">
        <v>0.517611</v>
      </c>
      <c r="K78">
        <v>358</v>
      </c>
      <c r="L78">
        <v>0</v>
      </c>
      <c r="M78">
        <v>-1</v>
      </c>
      <c r="N78">
        <v>10</v>
      </c>
      <c r="O78" s="2">
        <v>0.142297</v>
      </c>
      <c r="P78">
        <v>10</v>
      </c>
      <c r="Q78">
        <v>600</v>
      </c>
      <c r="S78">
        <v>600</v>
      </c>
      <c r="T78">
        <f t="shared" si="2"/>
        <v>0</v>
      </c>
      <c r="U78">
        <f t="shared" si="3"/>
        <v>0</v>
      </c>
    </row>
    <row r="79" spans="1:21">
      <c r="A79" t="s">
        <v>136</v>
      </c>
      <c r="B79">
        <v>196591</v>
      </c>
      <c r="C79">
        <v>950327</v>
      </c>
      <c r="D79">
        <v>56157</v>
      </c>
      <c r="E79">
        <v>653553</v>
      </c>
      <c r="F79">
        <v>0.166824</v>
      </c>
      <c r="G79">
        <v>333082</v>
      </c>
      <c r="H79">
        <v>1.88114</v>
      </c>
      <c r="I79">
        <v>332898</v>
      </c>
      <c r="J79">
        <v>0.25236</v>
      </c>
      <c r="K79">
        <v>833</v>
      </c>
      <c r="L79">
        <v>0</v>
      </c>
      <c r="M79">
        <v>-1</v>
      </c>
      <c r="N79">
        <v>6</v>
      </c>
      <c r="O79" s="2">
        <v>0.169777</v>
      </c>
      <c r="P79">
        <v>29</v>
      </c>
      <c r="Q79">
        <v>600</v>
      </c>
      <c r="S79">
        <v>600</v>
      </c>
      <c r="T79">
        <f t="shared" si="2"/>
        <v>0</v>
      </c>
      <c r="U79">
        <f t="shared" si="3"/>
        <v>0</v>
      </c>
    </row>
    <row r="80" spans="1:21">
      <c r="A80" t="s">
        <v>137</v>
      </c>
      <c r="B80">
        <v>34</v>
      </c>
      <c r="C80">
        <v>78</v>
      </c>
      <c r="D80">
        <v>13</v>
      </c>
      <c r="E80">
        <v>33</v>
      </c>
      <c r="F80" s="3" t="s">
        <v>25</v>
      </c>
      <c r="G80">
        <v>14</v>
      </c>
      <c r="H80" s="3" t="s">
        <v>114</v>
      </c>
      <c r="I80">
        <v>14</v>
      </c>
      <c r="J80">
        <v>0.009694</v>
      </c>
      <c r="K80">
        <v>13</v>
      </c>
      <c r="L80">
        <v>2</v>
      </c>
      <c r="M80">
        <v>0.018167</v>
      </c>
      <c r="N80">
        <v>4</v>
      </c>
      <c r="O80" s="3" t="s">
        <v>99</v>
      </c>
      <c r="P80">
        <v>4</v>
      </c>
      <c r="Q80">
        <v>0.039376</v>
      </c>
      <c r="S80">
        <v>0.013223</v>
      </c>
      <c r="T80">
        <f t="shared" si="2"/>
        <v>1</v>
      </c>
      <c r="U80">
        <f t="shared" si="3"/>
        <v>0</v>
      </c>
    </row>
    <row r="81" spans="1:21">
      <c r="A81" t="s">
        <v>139</v>
      </c>
      <c r="B81">
        <v>70068</v>
      </c>
      <c r="C81">
        <v>358647</v>
      </c>
      <c r="D81">
        <v>31332</v>
      </c>
      <c r="E81">
        <v>310453</v>
      </c>
      <c r="F81">
        <v>0.057204</v>
      </c>
      <c r="G81">
        <v>101882</v>
      </c>
      <c r="H81">
        <v>0.645806</v>
      </c>
      <c r="I81">
        <v>101656</v>
      </c>
      <c r="J81">
        <v>0.199546</v>
      </c>
      <c r="K81">
        <v>2295</v>
      </c>
      <c r="L81">
        <v>0</v>
      </c>
      <c r="M81">
        <v>-1</v>
      </c>
      <c r="N81">
        <v>3</v>
      </c>
      <c r="O81">
        <v>0.044759</v>
      </c>
      <c r="P81">
        <v>22</v>
      </c>
      <c r="Q81">
        <v>600</v>
      </c>
      <c r="S81">
        <v>600</v>
      </c>
      <c r="T81">
        <f t="shared" si="2"/>
        <v>0</v>
      </c>
      <c r="U81">
        <f t="shared" si="3"/>
        <v>0</v>
      </c>
    </row>
    <row r="82" spans="1:21">
      <c r="A82" t="s">
        <v>140</v>
      </c>
      <c r="B82">
        <v>404719</v>
      </c>
      <c r="C82">
        <v>713319</v>
      </c>
      <c r="D82">
        <v>96749</v>
      </c>
      <c r="E82">
        <v>405349</v>
      </c>
      <c r="F82">
        <v>0.119399</v>
      </c>
      <c r="G82">
        <v>49436</v>
      </c>
      <c r="H82">
        <v>0.714299</v>
      </c>
      <c r="I82">
        <v>48884</v>
      </c>
      <c r="J82">
        <v>0.230807</v>
      </c>
      <c r="K82">
        <v>336</v>
      </c>
      <c r="L82">
        <v>0</v>
      </c>
      <c r="M82">
        <v>-1</v>
      </c>
      <c r="N82">
        <v>2</v>
      </c>
      <c r="O82">
        <v>0.103716</v>
      </c>
      <c r="P82">
        <v>4</v>
      </c>
      <c r="Q82">
        <v>600</v>
      </c>
      <c r="S82">
        <v>600</v>
      </c>
      <c r="T82">
        <f t="shared" si="2"/>
        <v>0</v>
      </c>
      <c r="U82">
        <f t="shared" si="3"/>
        <v>0</v>
      </c>
    </row>
    <row r="83" spans="1:21">
      <c r="A83" t="s">
        <v>141</v>
      </c>
      <c r="B83">
        <v>889</v>
      </c>
      <c r="C83">
        <v>2914</v>
      </c>
      <c r="D83">
        <v>431</v>
      </c>
      <c r="E83">
        <v>2137</v>
      </c>
      <c r="F83">
        <v>0.000305</v>
      </c>
      <c r="G83">
        <v>723</v>
      </c>
      <c r="H83">
        <v>0.001341</v>
      </c>
      <c r="I83">
        <v>460</v>
      </c>
      <c r="J83">
        <v>0.103193</v>
      </c>
      <c r="K83">
        <v>1074</v>
      </c>
      <c r="L83">
        <v>179</v>
      </c>
      <c r="M83">
        <v>0.015966</v>
      </c>
      <c r="N83">
        <v>4</v>
      </c>
      <c r="O83">
        <v>0.000185</v>
      </c>
      <c r="P83">
        <v>5</v>
      </c>
      <c r="Q83">
        <v>0.122057</v>
      </c>
      <c r="S83">
        <v>0.1132</v>
      </c>
      <c r="T83">
        <f t="shared" si="2"/>
        <v>1</v>
      </c>
      <c r="U83">
        <f t="shared" si="3"/>
        <v>0</v>
      </c>
    </row>
    <row r="84" spans="1:21">
      <c r="A84" t="s">
        <v>142</v>
      </c>
      <c r="B84">
        <v>26475</v>
      </c>
      <c r="C84">
        <v>53381</v>
      </c>
      <c r="D84">
        <v>5696</v>
      </c>
      <c r="E84">
        <v>22287</v>
      </c>
      <c r="F84">
        <v>0.005674</v>
      </c>
      <c r="G84">
        <v>11604</v>
      </c>
      <c r="H84">
        <v>0.028029</v>
      </c>
      <c r="I84">
        <v>11547</v>
      </c>
      <c r="J84">
        <v>0.68619</v>
      </c>
      <c r="K84">
        <v>7438</v>
      </c>
      <c r="L84">
        <v>0</v>
      </c>
      <c r="M84">
        <v>-1</v>
      </c>
      <c r="N84">
        <v>3</v>
      </c>
      <c r="O84">
        <v>0.003221</v>
      </c>
      <c r="P84">
        <v>7</v>
      </c>
      <c r="Q84">
        <v>600</v>
      </c>
      <c r="S84">
        <v>600</v>
      </c>
      <c r="T84">
        <f t="shared" si="2"/>
        <v>0</v>
      </c>
      <c r="U84">
        <f t="shared" si="3"/>
        <v>0</v>
      </c>
    </row>
    <row r="85" spans="1:21">
      <c r="A85" t="s">
        <v>143</v>
      </c>
      <c r="B85">
        <v>40164</v>
      </c>
      <c r="C85">
        <v>85123</v>
      </c>
      <c r="D85">
        <v>9439</v>
      </c>
      <c r="E85">
        <v>39351</v>
      </c>
      <c r="F85">
        <v>0.009882</v>
      </c>
      <c r="G85">
        <v>21641</v>
      </c>
      <c r="H85">
        <v>0.076211</v>
      </c>
      <c r="I85">
        <v>21587</v>
      </c>
      <c r="J85">
        <v>0.409194</v>
      </c>
      <c r="K85">
        <v>8065</v>
      </c>
      <c r="L85">
        <v>0</v>
      </c>
      <c r="M85">
        <v>-1</v>
      </c>
      <c r="N85">
        <v>3</v>
      </c>
      <c r="O85" s="2">
        <v>0.006459</v>
      </c>
      <c r="P85">
        <v>6</v>
      </c>
      <c r="Q85">
        <v>600</v>
      </c>
      <c r="S85">
        <v>600</v>
      </c>
      <c r="T85">
        <f t="shared" si="2"/>
        <v>0</v>
      </c>
      <c r="U85">
        <f t="shared" si="3"/>
        <v>0</v>
      </c>
    </row>
    <row r="86" spans="1:21">
      <c r="A86" t="s">
        <v>144</v>
      </c>
      <c r="B86">
        <v>62561</v>
      </c>
      <c r="C86">
        <v>147878</v>
      </c>
      <c r="D86">
        <v>24443</v>
      </c>
      <c r="E86">
        <v>100454</v>
      </c>
      <c r="F86">
        <v>0.029394</v>
      </c>
      <c r="G86">
        <v>379</v>
      </c>
      <c r="H86">
        <v>0.046801</v>
      </c>
      <c r="I86">
        <v>90</v>
      </c>
      <c r="J86">
        <v>0.148729</v>
      </c>
      <c r="K86">
        <v>181</v>
      </c>
      <c r="L86">
        <v>16</v>
      </c>
      <c r="M86">
        <v>0.007741</v>
      </c>
      <c r="N86">
        <v>3</v>
      </c>
      <c r="O86">
        <v>0.021494</v>
      </c>
      <c r="P86">
        <v>3</v>
      </c>
      <c r="Q86">
        <v>0.352981</v>
      </c>
      <c r="S86">
        <v>0.204995</v>
      </c>
      <c r="T86">
        <f t="shared" si="2"/>
        <v>1</v>
      </c>
      <c r="U86">
        <f t="shared" si="3"/>
        <v>0</v>
      </c>
    </row>
    <row r="87" spans="1:21">
      <c r="A87" t="s">
        <v>145</v>
      </c>
      <c r="B87">
        <v>190914</v>
      </c>
      <c r="C87">
        <v>607610</v>
      </c>
      <c r="D87">
        <v>69395</v>
      </c>
      <c r="E87">
        <v>406612</v>
      </c>
      <c r="F87">
        <v>0.131986</v>
      </c>
      <c r="G87">
        <v>113378</v>
      </c>
      <c r="H87">
        <v>0.550004</v>
      </c>
      <c r="I87">
        <v>113134</v>
      </c>
      <c r="J87">
        <v>0.396185</v>
      </c>
      <c r="K87">
        <v>1822</v>
      </c>
      <c r="L87">
        <v>0</v>
      </c>
      <c r="M87">
        <v>-1</v>
      </c>
      <c r="N87">
        <v>4</v>
      </c>
      <c r="O87">
        <v>0.110496</v>
      </c>
      <c r="P87">
        <v>14</v>
      </c>
      <c r="Q87">
        <v>600</v>
      </c>
      <c r="S87">
        <v>600</v>
      </c>
      <c r="T87">
        <f t="shared" si="2"/>
        <v>0</v>
      </c>
      <c r="U87">
        <f t="shared" si="3"/>
        <v>0</v>
      </c>
    </row>
    <row r="88" spans="1:21">
      <c r="A88" t="s">
        <v>146</v>
      </c>
      <c r="B88">
        <v>2113</v>
      </c>
      <c r="C88">
        <v>6632</v>
      </c>
      <c r="D88">
        <v>165</v>
      </c>
      <c r="E88">
        <v>1558</v>
      </c>
      <c r="F88">
        <v>0.000439</v>
      </c>
      <c r="G88">
        <v>833</v>
      </c>
      <c r="H88">
        <v>0.002939</v>
      </c>
      <c r="I88">
        <v>829</v>
      </c>
      <c r="J88">
        <v>0.156403</v>
      </c>
      <c r="K88">
        <v>2636</v>
      </c>
      <c r="L88">
        <v>296</v>
      </c>
      <c r="M88">
        <v>0.246077</v>
      </c>
      <c r="N88">
        <v>10</v>
      </c>
      <c r="O88">
        <v>0.000684</v>
      </c>
      <c r="P88">
        <v>10</v>
      </c>
      <c r="Q88">
        <v>0.409545</v>
      </c>
      <c r="S88">
        <v>0.288053</v>
      </c>
      <c r="T88">
        <f t="shared" si="2"/>
        <v>1</v>
      </c>
      <c r="U88">
        <f t="shared" si="3"/>
        <v>0</v>
      </c>
    </row>
    <row r="89" spans="1:21">
      <c r="A89" t="s">
        <v>147</v>
      </c>
      <c r="B89">
        <v>7476</v>
      </c>
      <c r="C89">
        <v>56943</v>
      </c>
      <c r="D89">
        <v>1034</v>
      </c>
      <c r="E89">
        <v>36994</v>
      </c>
      <c r="F89">
        <v>0.006738</v>
      </c>
      <c r="G89">
        <v>32918</v>
      </c>
      <c r="H89">
        <v>0.30964</v>
      </c>
      <c r="I89">
        <v>32838</v>
      </c>
      <c r="J89">
        <v>2.83474</v>
      </c>
      <c r="K89">
        <v>12104</v>
      </c>
      <c r="L89">
        <v>0</v>
      </c>
      <c r="M89">
        <v>-1</v>
      </c>
      <c r="N89">
        <v>15</v>
      </c>
      <c r="O89">
        <v>0.006112</v>
      </c>
      <c r="P89">
        <v>40</v>
      </c>
      <c r="Q89">
        <v>600</v>
      </c>
      <c r="S89">
        <v>600</v>
      </c>
      <c r="T89">
        <f t="shared" si="2"/>
        <v>0</v>
      </c>
      <c r="U89">
        <f t="shared" si="3"/>
        <v>0</v>
      </c>
    </row>
    <row r="90" spans="1:21">
      <c r="A90" t="s">
        <v>148</v>
      </c>
      <c r="B90">
        <v>3031</v>
      </c>
      <c r="C90">
        <v>6474</v>
      </c>
      <c r="D90">
        <v>51</v>
      </c>
      <c r="E90">
        <v>645</v>
      </c>
      <c r="F90">
        <v>0.000113</v>
      </c>
      <c r="G90">
        <v>645</v>
      </c>
      <c r="H90">
        <v>0.000909</v>
      </c>
      <c r="I90">
        <v>645</v>
      </c>
      <c r="J90">
        <v>0.054279</v>
      </c>
      <c r="K90">
        <v>1283</v>
      </c>
      <c r="L90">
        <v>496</v>
      </c>
      <c r="M90">
        <v>1.08929</v>
      </c>
      <c r="N90">
        <v>19</v>
      </c>
      <c r="O90" s="2">
        <v>0.000261</v>
      </c>
      <c r="P90">
        <v>19</v>
      </c>
      <c r="Q90">
        <v>1.14652</v>
      </c>
      <c r="S90">
        <v>0.382793</v>
      </c>
      <c r="T90">
        <f t="shared" si="2"/>
        <v>1</v>
      </c>
      <c r="U90">
        <f t="shared" si="3"/>
        <v>0</v>
      </c>
    </row>
    <row r="91" spans="1:21">
      <c r="A91" t="s">
        <v>150</v>
      </c>
      <c r="B91">
        <v>1299</v>
      </c>
      <c r="C91">
        <v>2773</v>
      </c>
      <c r="D91">
        <v>53</v>
      </c>
      <c r="E91">
        <v>415</v>
      </c>
      <c r="F91" s="3" t="s">
        <v>193</v>
      </c>
      <c r="G91">
        <v>410</v>
      </c>
      <c r="H91">
        <v>0.000392</v>
      </c>
      <c r="I91">
        <v>410</v>
      </c>
      <c r="J91">
        <v>0.034028</v>
      </c>
      <c r="K91">
        <v>302</v>
      </c>
      <c r="L91">
        <v>21</v>
      </c>
      <c r="M91">
        <v>0.024305</v>
      </c>
      <c r="N91">
        <v>15</v>
      </c>
      <c r="O91">
        <v>0.000186</v>
      </c>
      <c r="P91">
        <v>15</v>
      </c>
      <c r="Q91">
        <v>0.060118</v>
      </c>
      <c r="S91">
        <v>0.041326</v>
      </c>
      <c r="T91">
        <f t="shared" si="2"/>
        <v>1</v>
      </c>
      <c r="U91">
        <f t="shared" si="3"/>
        <v>0</v>
      </c>
    </row>
    <row r="92" spans="1:21">
      <c r="A92" t="s">
        <v>152</v>
      </c>
      <c r="B92">
        <v>11358</v>
      </c>
      <c r="C92">
        <v>47606</v>
      </c>
      <c r="D92">
        <v>452</v>
      </c>
      <c r="E92">
        <v>8164</v>
      </c>
      <c r="F92">
        <v>0.001613</v>
      </c>
      <c r="G92">
        <v>8129</v>
      </c>
      <c r="H92">
        <v>0.024756</v>
      </c>
      <c r="I92">
        <v>8129</v>
      </c>
      <c r="J92">
        <v>1.26737</v>
      </c>
      <c r="K92">
        <v>13863</v>
      </c>
      <c r="L92">
        <v>4357</v>
      </c>
      <c r="M92">
        <v>598.553</v>
      </c>
      <c r="N92">
        <v>28</v>
      </c>
      <c r="O92">
        <v>0.00276</v>
      </c>
      <c r="P92">
        <v>28</v>
      </c>
      <c r="Q92">
        <v>599.876</v>
      </c>
      <c r="S92">
        <v>210.465</v>
      </c>
      <c r="T92">
        <f t="shared" si="2"/>
        <v>1</v>
      </c>
      <c r="U92">
        <f t="shared" si="3"/>
        <v>0</v>
      </c>
    </row>
    <row r="93" spans="1:21">
      <c r="A93" t="s">
        <v>153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0.001113</v>
      </c>
      <c r="I93">
        <v>397</v>
      </c>
      <c r="J93">
        <v>0.074284</v>
      </c>
      <c r="K93">
        <v>782</v>
      </c>
      <c r="L93">
        <v>201</v>
      </c>
      <c r="M93">
        <v>0.066861</v>
      </c>
      <c r="N93">
        <v>6</v>
      </c>
      <c r="O93" s="2">
        <v>0.000144</v>
      </c>
      <c r="P93">
        <v>7</v>
      </c>
      <c r="Q93">
        <v>0.143438</v>
      </c>
      <c r="S93">
        <v>0.102791</v>
      </c>
      <c r="T93">
        <f t="shared" si="2"/>
        <v>1</v>
      </c>
      <c r="U93">
        <f t="shared" si="3"/>
        <v>0</v>
      </c>
    </row>
    <row r="94" spans="1:21">
      <c r="A94" t="s">
        <v>154</v>
      </c>
      <c r="B94">
        <v>121422</v>
      </c>
      <c r="C94">
        <v>334419</v>
      </c>
      <c r="D94">
        <v>1071</v>
      </c>
      <c r="E94">
        <v>25209</v>
      </c>
      <c r="F94">
        <v>0.009279</v>
      </c>
      <c r="G94">
        <v>25166</v>
      </c>
      <c r="H94">
        <v>0.095264</v>
      </c>
      <c r="I94">
        <v>25166</v>
      </c>
      <c r="J94">
        <v>3.57037</v>
      </c>
      <c r="K94">
        <v>8217</v>
      </c>
      <c r="L94">
        <v>0</v>
      </c>
      <c r="M94">
        <v>-1</v>
      </c>
      <c r="N94">
        <v>22</v>
      </c>
      <c r="O94">
        <v>0.033265</v>
      </c>
      <c r="P94">
        <v>47</v>
      </c>
      <c r="Q94">
        <v>600</v>
      </c>
      <c r="S94">
        <v>600</v>
      </c>
      <c r="T94">
        <f t="shared" si="2"/>
        <v>0</v>
      </c>
      <c r="U94">
        <f t="shared" si="3"/>
        <v>0</v>
      </c>
    </row>
    <row r="95" spans="1:21">
      <c r="A95" t="s">
        <v>155</v>
      </c>
      <c r="B95">
        <v>4767</v>
      </c>
      <c r="C95">
        <v>37375</v>
      </c>
      <c r="D95">
        <v>2155</v>
      </c>
      <c r="E95">
        <v>31206</v>
      </c>
      <c r="F95">
        <v>0.004869</v>
      </c>
      <c r="G95">
        <v>17323</v>
      </c>
      <c r="H95">
        <v>0.089285</v>
      </c>
      <c r="I95">
        <v>17044</v>
      </c>
      <c r="J95">
        <v>0.246352</v>
      </c>
      <c r="K95">
        <v>4786</v>
      </c>
      <c r="L95">
        <v>0</v>
      </c>
      <c r="M95">
        <v>-1</v>
      </c>
      <c r="N95">
        <v>7</v>
      </c>
      <c r="O95">
        <v>0.003112</v>
      </c>
      <c r="P95">
        <v>11</v>
      </c>
      <c r="Q95">
        <v>600</v>
      </c>
      <c r="S95">
        <v>600</v>
      </c>
      <c r="T95">
        <f t="shared" si="2"/>
        <v>0</v>
      </c>
      <c r="U95">
        <f t="shared" si="3"/>
        <v>0</v>
      </c>
    </row>
    <row r="96" spans="1:21">
      <c r="A96" t="s">
        <v>156</v>
      </c>
      <c r="B96">
        <v>16062</v>
      </c>
      <c r="C96">
        <v>25593</v>
      </c>
      <c r="D96">
        <v>138</v>
      </c>
      <c r="E96">
        <v>1476</v>
      </c>
      <c r="F96">
        <v>0.001877</v>
      </c>
      <c r="G96">
        <v>1475</v>
      </c>
      <c r="H96">
        <v>0.006694</v>
      </c>
      <c r="I96">
        <v>1475</v>
      </c>
      <c r="J96">
        <v>0.550113</v>
      </c>
      <c r="K96">
        <v>10128</v>
      </c>
      <c r="L96">
        <v>4252</v>
      </c>
      <c r="M96">
        <v>92.344</v>
      </c>
      <c r="N96">
        <v>13</v>
      </c>
      <c r="O96">
        <v>0.0049</v>
      </c>
      <c r="P96">
        <v>14</v>
      </c>
      <c r="Q96">
        <v>92.918</v>
      </c>
      <c r="S96">
        <v>29.1783</v>
      </c>
      <c r="T96">
        <f t="shared" si="2"/>
        <v>1</v>
      </c>
      <c r="U96">
        <f t="shared" si="3"/>
        <v>0</v>
      </c>
    </row>
    <row r="97" spans="17:21">
      <c r="Q97">
        <f>COUNT(Q2:Q96)-COUNTIF(Q2:Q96,"=600")</f>
        <v>60</v>
      </c>
      <c r="S97">
        <f>COUNT(S2:S96)-COUNTIF(S2:S96,"=600")</f>
        <v>60</v>
      </c>
      <c r="T97">
        <f>COUNTIF(T2:T96,"=1")</f>
        <v>53</v>
      </c>
      <c r="U97">
        <f>COUNTIF(U2:U96,"=1")</f>
        <v>7</v>
      </c>
    </row>
  </sheetData>
  <sortState ref="A2:Q9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d=0.0001</vt:lpstr>
      <vt:lpstr>d=0.0005</vt:lpstr>
      <vt:lpstr>d=0.001</vt:lpstr>
      <vt:lpstr>d=0.0015</vt:lpstr>
      <vt:lpstr>d=0.002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2026-05-09T21:14:48Z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11BD217250D746A58392271845130BDE_12</vt:lpwstr>
  </property>
  <property fmtid="{D5CDD505-2E9C-101B-9397-08002B2CF9AE}" pid="4" name="CalculationRule">
    <vt:i4>0</vt:i4>
  </property>
</Properties>
</file>